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sheets/sheet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Calc"/>
  <workbookPr defaultThemeVersion="153222"/>
  <bookViews>
    <workbookView xWindow="0" yWindow="0" windowWidth="16384" windowHeight="8192" activeTab="5" tabRatio="500"/>
  </bookViews>
  <sheets>
    <sheet name="README" sheetId="1" r:id="rId1"/>
    <sheet name="Campaign Data" sheetId="2" r:id="rId2"/>
    <sheet name="Weekly Report" sheetId="3" r:id="rId3"/>
    <sheet name="Monthly Report" sheetId="4" r:id="rId4"/>
    <sheet name="Dashboard" sheetId="5" r:id="rId5"/>
    <sheet name="Scenario Analysis" sheetId="6" r:id="rId6"/>
  </sheets>
  <definedNames/>
  <calcPr iterateDelta="1.0E-4"/>
</workbook>
</file>

<file path=xl/sharedStrings.xml><?xml version="1.0" encoding="utf-8"?>
<sst xmlns="http://schemas.openxmlformats.org/spreadsheetml/2006/main" uniqueCount="107" count="107">
  <si>
    <t>Marketing Campaign Performance Workbook</t>
  </si>
  <si>
    <t>Sample portfolio project — campaign data, KPI reporting, and dashboard</t>
  </si>
  <si>
    <t>Purpose</t>
  </si>
  <si>
    <t>Demonstrates a marketing analytics workflow: raw campaign data, standard paid-media KPIs, weekly/monthly reporting, a dashboard, and scenario-based interpretation of results.</t>
  </si>
  <si>
    <t>Tab</t>
  </si>
  <si>
    <t>What it contains</t>
  </si>
  <si>
    <t>Campaign Data</t>
  </si>
  <si>
    <t>Weekly raw performance by channel/campaign (impressions, clicks, spend, leads, conversions, revenue) with KPI formulas: CTR, CPC, CPM, Conversion Rate, CPL, ROI, ROAS.</t>
  </si>
  <si>
    <t>Weekly Report</t>
  </si>
  <si>
    <t>Metrics aggregated by week across all channels.</t>
  </si>
  <si>
    <t>Monthly Report</t>
  </si>
  <si>
    <t>Metrics aggregated by month and by channel.</t>
  </si>
  <si>
    <t>Dashboard</t>
  </si>
  <si>
    <t>KPI summary cards, spend-by-channel and ROAS-by-channel charts, CTR trend line.</t>
  </si>
  <si>
    <t>Scenario Analysis</t>
  </si>
  <si>
    <t>Written, data-driven interpretation of what the numbers mean and what to do about it — the kind of narrative a stakeholder would expect alongside the metrics.</t>
  </si>
  <si>
    <t>KPI formulas used</t>
  </si>
  <si>
    <t>CTR</t>
  </si>
  <si>
    <t>Clicks / Impressions</t>
  </si>
  <si>
    <t>CPC</t>
  </si>
  <si>
    <t>Spend / Clicks</t>
  </si>
  <si>
    <t>CPM</t>
  </si>
  <si>
    <t>Spend / Impressions x 1,000</t>
  </si>
  <si>
    <t>Conversion Rate</t>
  </si>
  <si>
    <t>Conversions / Clicks</t>
  </si>
  <si>
    <t>CPL</t>
  </si>
  <si>
    <t>Spend / Leads</t>
  </si>
  <si>
    <t>ROI</t>
  </si>
  <si>
    <t>(Revenue - Spend) / Spend</t>
  </si>
  <si>
    <t>ROAS</t>
  </si>
  <si>
    <t>Revenue / Spend</t>
  </si>
  <si>
    <t>Color legend</t>
  </si>
  <si>
    <t xml:space="preserve">  Sample  </t>
  </si>
  <si>
    <t>Blue text - input cell (edit these: impressions, clicks, spend, leads, conversions, revenue)</t>
  </si>
  <si>
    <t>Black text - formula, calculated automatically</t>
  </si>
  <si>
    <t>Green text - lookup/aggregation pulled from another tab</t>
  </si>
  <si>
    <t>Yellow fill - key target / benchmark you can adjust</t>
  </si>
  <si>
    <t>Red - below target / underperforming</t>
  </si>
  <si>
    <t>Amber - near target / watch</t>
  </si>
  <si>
    <t>Green - meeting or beating target</t>
  </si>
  <si>
    <t>Assumptions</t>
  </si>
  <si>
    <t>• All campaign, spend, and revenue figures are fictional sample data created for this workbook, not sourced from a real company.</t>
  </si>
  <si>
    <t>• Targets/benchmarks on the Dashboard (yellow cells) are illustrative common paid-media benchmarks — adjust to match actual account history or industry.</t>
  </si>
  <si>
    <t>Weekly performance by channel and campaign, with KPI formulas</t>
  </si>
  <si>
    <t>Week</t>
  </si>
  <si>
    <t>Week Start</t>
  </si>
  <si>
    <t>Month</t>
  </si>
  <si>
    <t>Channel</t>
  </si>
  <si>
    <t>Campaign Name</t>
  </si>
  <si>
    <t>Impressions</t>
  </si>
  <si>
    <t>Clicks</t>
  </si>
  <si>
    <t>Spend ($)</t>
  </si>
  <si>
    <t>Leads</t>
  </si>
  <si>
    <t>Conversions</t>
  </si>
  <si>
    <t>Revenue ($)</t>
  </si>
  <si>
    <t>Conv. Rate</t>
  </si>
  <si>
    <t>Google Search</t>
  </si>
  <si>
    <t>Brand + Category Search</t>
  </si>
  <si>
    <t>Facebook Ads</t>
  </si>
  <si>
    <t>Prospecting - Lookalike 1%</t>
  </si>
  <si>
    <t>LinkedIn Ads</t>
  </si>
  <si>
    <t>B2B Lead Gen - Decision Makers</t>
  </si>
  <si>
    <t>Email</t>
  </si>
  <si>
    <t>Weekly Newsletter Promo</t>
  </si>
  <si>
    <t>All-channel totals and blended KPIs by week</t>
  </si>
  <si>
    <t>Blended CTR</t>
  </si>
  <si>
    <t>Blended ROAS</t>
  </si>
  <si>
    <t>Totals and blended KPIs by month and channel</t>
  </si>
  <si>
    <t>Marketing Performance Dashboard</t>
  </si>
  <si>
    <t>Campaign totals, KPI targets, and channel comparison (all 8 weeks)</t>
  </si>
  <si>
    <t>Targets / Benchmarks</t>
  </si>
  <si>
    <t>Target CTR</t>
  </si>
  <si>
    <t>Target CPL</t>
  </si>
  <si>
    <t>Target ROAS</t>
  </si>
  <si>
    <t>Overall KPI Summary</t>
  </si>
  <si>
    <t>Total Impressions</t>
  </si>
  <si>
    <t>Total Clicks</t>
  </si>
  <si>
    <t>Total Spend</t>
  </si>
  <si>
    <t>Total Leads</t>
  </si>
  <si>
    <t>Total Conversions</t>
  </si>
  <si>
    <t>Total Revenue</t>
  </si>
  <si>
    <t>Blended CPC</t>
  </si>
  <si>
    <t>Blended CPL</t>
  </si>
  <si>
    <t>Blended Conv. Rate</t>
  </si>
  <si>
    <t>Overall ROI</t>
  </si>
  <si>
    <t>Overall ROAS</t>
  </si>
  <si>
    <t>Status vs. Target</t>
  </si>
  <si>
    <t>CTR vs Target</t>
  </si>
  <si>
    <t>CPL vs Target</t>
  </si>
  <si>
    <t>ROAS vs Target</t>
  </si>
  <si>
    <t>Channel Comparison (8-week totals)</t>
  </si>
  <si>
    <t>Interpretation of campaign results and recommended actions</t>
  </si>
  <si>
    <t>Auto-flag: Facebook CTR trend, last 2 weeks vs first 2 weeks</t>
  </si>
  <si>
    <t>Avg CTR - Weeks 1-2</t>
  </si>
  <si>
    <t>Avg CTR - Weeks 7-8</t>
  </si>
  <si>
    <t>% Change</t>
  </si>
  <si>
    <t>Scenario 1: Facebook Ads CTR and lead rate declined ~30-40% in Weeks 7-8</t>
  </si>
  <si>
    <t>Interpretation:</t>
  </si>
  <si>
    <t>Impressions held steady but CTR and downstream lead rate dropped, most likely creative fatigue on the Prospecting - Lookalike 1% audience after ~6 weeks of continuous delivery. Spend was not pulled back, so CPL and ROAS for the channel worsened in the same window.</t>
  </si>
  <si>
    <t>Recommended action:</t>
  </si>
  <si>
    <t>Refresh ad creative/copy on this audience, or introduce a second lookalike segment to split delivery; consider a frequency cap and re-test after 1-2 weeks before increasing budget further.</t>
  </si>
  <si>
    <t>Scenario 2: LinkedIn Ads has the highest CPC and CPL of all channels, but also the highest ROAS</t>
  </si>
  <si>
    <t>LinkedIn's cost-per-click and cost-per-lead run well above Google, Facebook, and Email - expected for a B2B decision-maker audience. However, average order value on LinkedIn-sourced conversions is several times higher, so overall ROAS is the strongest of the four channels despite the higher acquisition cost.</t>
  </si>
  <si>
    <t>Do not evaluate LinkedIn against the same CPL benchmark as the other channels; judge it on ROAS/ROI instead, and consider shifting incremental budget here if pipeline capacity allows.</t>
  </si>
  <si>
    <t>Scenario 3: Email has by far the lowest CPC and CPM</t>
  </si>
  <si>
    <t>Email delivery cost is near-zero, so CPC/CPM look artificially strong compared to paid channels - this is a structural feature of the channel (an owned list), not a sign of superior targeting or creative.</t>
  </si>
  <si>
    <t>Track Email primarily on list growth, engagement, and incremental revenue rather than CPC/CPM; don't use these numbers to justify reallocating paid budget away from Google or LinkedIn.</t>
  </si>
</sst>
</file>

<file path=xl/styles.xml><?xml version="1.0" encoding="utf-8"?>
<styleSheet xmlns="http://schemas.openxmlformats.org/spreadsheetml/2006/main">
  <numFmts count="8">
    <numFmt numFmtId="0" formatCode="General"/>
    <numFmt numFmtId="164" formatCode="yyyy\-mm\-dd"/>
    <numFmt numFmtId="165" formatCode="\$#,##0.00"/>
    <numFmt numFmtId="10" formatCode="0.00%"/>
    <numFmt numFmtId="166" formatCode="0.0%"/>
    <numFmt numFmtId="167" formatCode="0.00\x"/>
    <numFmt numFmtId="3" formatCode="#,##0"/>
    <numFmt numFmtId="168" formatCode="\$#,##0"/>
  </numFmts>
  <fonts count="17">
    <font>
      <name val="Calibri"/>
      <sz val="11"/>
    </font>
    <font>
      <name val="Arial"/>
      <b/>
      <charset val="1"/>
      <sz val="16"/>
      <color rgb="FF2E5E4E"/>
    </font>
    <font>
      <name val="Arial"/>
      <i/>
      <charset val="1"/>
      <sz val="10"/>
      <color rgb="FF595959"/>
    </font>
    <font>
      <name val="Arial"/>
      <b/>
      <charset val="1"/>
      <sz val="10"/>
    </font>
    <font>
      <name val="Arial"/>
      <charset val="1"/>
      <sz val="10"/>
    </font>
    <font>
      <name val="Arial"/>
      <charset val="1"/>
      <sz val="10"/>
      <color rgb="FF0000FF"/>
    </font>
    <font>
      <name val="Arial"/>
      <charset val="1"/>
      <sz val="10"/>
      <color rgb="FF000000"/>
    </font>
    <font>
      <name val="Arial"/>
      <charset val="1"/>
      <sz val="10"/>
      <color rgb="FF008000"/>
    </font>
    <font>
      <name val="Calibri"/>
      <charset val="1"/>
      <sz val="11"/>
      <color rgb="FF000000"/>
    </font>
    <font>
      <name val="Arial"/>
      <charset val="1"/>
      <sz val="11"/>
      <color rgb="FF9C0006"/>
    </font>
    <font>
      <name val="Arial"/>
      <charset val="1"/>
      <sz val="11"/>
      <color rgb="FF9C6500"/>
    </font>
    <font>
      <name val="Arial"/>
      <charset val="1"/>
      <sz val="11"/>
      <color rgb="FF006100"/>
    </font>
    <font>
      <name val="Arial"/>
      <i/>
      <charset val="1"/>
      <sz val="9"/>
      <color rgb="FF595959"/>
    </font>
    <font>
      <name val="Arial"/>
      <b/>
      <charset val="1"/>
      <sz val="11"/>
      <color rgb="FFFFFFFF"/>
    </font>
    <font>
      <name val="Arial"/>
      <b/>
      <charset val="1"/>
      <sz val="11"/>
      <color rgb="FF2E5E4E"/>
    </font>
    <font>
      <name val="Arial"/>
      <b/>
      <charset val="1"/>
      <sz val="11"/>
    </font>
    <font>
      <name val="Arial"/>
      <i/>
      <charset val="1"/>
      <sz val="10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  <fill>
      <patternFill patternType="solid">
        <fgColor rgb="FF2E5E4E"/>
        <b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Border="1" applyAlignment="1">
      <alignment vertical="top" wrapText="1"/>
    </xf>
    <xf numFmtId="0" fontId="4" fillId="0" borderId="0" xfId="0" applyFont="1" applyAlignment="1">
      <alignment vertical="bottom"/>
    </xf>
    <xf numFmtId="0" fontId="5" fillId="0" borderId="1" xfId="0" applyFont="1" applyBorder="1" applyAlignment="1">
      <alignment horizontal="center" vertical="bottom"/>
    </xf>
    <xf numFmtId="0" fontId="4" fillId="0" borderId="0" xfId="0" applyFont="1" applyBorder="1" applyAlignment="1">
      <alignment vertical="bottom"/>
    </xf>
    <xf numFmtId="0" fontId="6" fillId="0" borderId="1" xfId="0" applyFont="1" applyBorder="1" applyAlignment="1">
      <alignment horizontal="center" vertical="bottom"/>
    </xf>
    <xf numFmtId="0" fontId="7" fillId="0" borderId="1" xfId="0" applyFont="1" applyBorder="1" applyAlignment="1">
      <alignment horizontal="center" vertical="bottom"/>
    </xf>
    <xf numFmtId="0" fontId="8" fillId="2" borderId="1" xfId="0" applyFont="1" applyBorder="1" applyAlignment="1">
      <alignment horizontal="center" vertical="bottom"/>
    </xf>
    <xf numFmtId="0" fontId="9" fillId="3" borderId="1" xfId="0" applyFont="1" applyBorder="1" applyAlignment="1">
      <alignment horizontal="center" vertical="bottom"/>
    </xf>
    <xf numFmtId="0" fontId="10" fillId="4" borderId="1" xfId="0" applyFont="1" applyBorder="1" applyAlignment="1">
      <alignment horizontal="center" vertical="bottom"/>
    </xf>
    <xf numFmtId="0" fontId="11" fillId="5" borderId="1" xfId="0" applyFont="1" applyBorder="1" applyAlignment="1">
      <alignment horizontal="center" vertical="bottom"/>
    </xf>
    <xf numFmtId="0" fontId="12" fillId="0" borderId="0" xfId="0" applyFont="1" applyBorder="1" applyAlignment="1">
      <alignment vertical="bottom" wrapText="1"/>
    </xf>
    <xf numFmtId="0" fontId="13" fillId="6" borderId="1" xfId="0" applyFont="1" applyBorder="1" applyAlignment="1">
      <alignment horizontal="center" vertical="center" wrapText="1"/>
    </xf>
    <xf numFmtId="164" fontId="5" fillId="0" borderId="1" xfId="0" applyFont="1" applyBorder="1" applyAlignment="1">
      <alignment horizontal="center" vertical="bottom"/>
    </xf>
    <xf numFmtId="0" fontId="5" fillId="0" borderId="1" xfId="0" applyFont="1" applyBorder="1" applyAlignment="1">
      <alignment vertical="bottom"/>
    </xf>
    <xf numFmtId="165" fontId="5" fillId="0" borderId="1" xfId="0" applyFont="1" applyBorder="1" applyAlignment="1">
      <alignment horizontal="center" vertical="bottom"/>
    </xf>
    <xf numFmtId="10" fontId="6" fillId="0" borderId="1" xfId="0" applyFont="1" applyBorder="1" applyAlignment="1">
      <alignment horizontal="center" vertical="bottom"/>
    </xf>
    <xf numFmtId="165" fontId="6" fillId="0" borderId="1" xfId="0" applyFont="1" applyBorder="1" applyAlignment="1">
      <alignment horizontal="center" vertical="bottom"/>
    </xf>
    <xf numFmtId="166" fontId="6" fillId="0" borderId="1" xfId="0" applyFont="1" applyBorder="1" applyAlignment="1">
      <alignment horizontal="center" vertical="bottom"/>
    </xf>
    <xf numFmtId="167" fontId="6" fillId="0" borderId="1" xfId="0" applyFont="1" applyBorder="1" applyAlignment="1">
      <alignment horizontal="center" vertical="bottom"/>
    </xf>
    <xf numFmtId="164" fontId="7" fillId="0" borderId="1" xfId="0" applyFont="1" applyBorder="1" applyAlignment="1">
      <alignment horizontal="center" vertical="bottom"/>
    </xf>
    <xf numFmtId="165" fontId="7" fillId="0" borderId="1" xfId="0" applyFont="1" applyBorder="1" applyAlignment="1">
      <alignment horizontal="center" vertical="bottom"/>
    </xf>
    <xf numFmtId="0" fontId="5" fillId="0" borderId="1" xfId="0" applyFont="1" applyBorder="1" applyAlignment="1">
      <alignment horizontal="left" vertical="bottom"/>
    </xf>
    <xf numFmtId="0" fontId="14" fillId="0" borderId="0" xfId="0" applyFont="1" applyAlignment="1">
      <alignment vertical="bottom"/>
    </xf>
    <xf numFmtId="10" fontId="8" fillId="2" borderId="0" xfId="0" applyAlignment="1">
      <alignment vertical="bottom"/>
    </xf>
    <xf numFmtId="165" fontId="8" fillId="2" borderId="0" xfId="0" applyAlignment="1">
      <alignment vertical="bottom"/>
    </xf>
    <xf numFmtId="167" fontId="8" fillId="2" borderId="0" xfId="0" applyAlignment="1">
      <alignment vertical="bottom"/>
    </xf>
    <xf numFmtId="0" fontId="4" fillId="0" borderId="1" xfId="0" applyFont="1" applyBorder="1" applyAlignment="1">
      <alignment vertical="bottom"/>
    </xf>
    <xf numFmtId="3" fontId="15" fillId="0" borderId="1" xfId="0" applyFont="1" applyBorder="1" applyAlignment="1">
      <alignment horizontal="center" vertical="bottom"/>
    </xf>
    <xf numFmtId="168" fontId="15" fillId="0" borderId="1" xfId="0" applyFont="1" applyBorder="1" applyAlignment="1">
      <alignment horizontal="center" vertical="bottom"/>
    </xf>
    <xf numFmtId="10" fontId="15" fillId="0" borderId="1" xfId="0" applyFont="1" applyBorder="1" applyAlignment="1">
      <alignment horizontal="center" vertical="bottom"/>
    </xf>
    <xf numFmtId="165" fontId="15" fillId="0" borderId="1" xfId="0" applyFont="1" applyBorder="1" applyAlignment="1">
      <alignment horizontal="center" vertical="bottom"/>
    </xf>
    <xf numFmtId="166" fontId="15" fillId="0" borderId="1" xfId="0" applyFont="1" applyBorder="1" applyAlignment="1">
      <alignment horizontal="center" vertical="bottom"/>
    </xf>
    <xf numFmtId="167" fontId="15" fillId="0" borderId="1" xfId="0" applyFont="1" applyBorder="1" applyAlignment="1">
      <alignment horizontal="center" vertical="bottom"/>
    </xf>
    <xf numFmtId="10" fontId="4" fillId="0" borderId="1" xfId="0" applyFont="1" applyBorder="1" applyAlignment="1">
      <alignment horizontal="center" vertical="bottom"/>
    </xf>
    <xf numFmtId="0" fontId="3" fillId="0" borderId="1" xfId="0" applyFont="1" applyBorder="1" applyAlignment="1">
      <alignment horizontal="center" vertical="bottom"/>
    </xf>
    <xf numFmtId="165" fontId="4" fillId="0" borderId="1" xfId="0" applyFont="1" applyBorder="1" applyAlignment="1">
      <alignment horizontal="center" vertical="bottom"/>
    </xf>
    <xf numFmtId="167" fontId="4" fillId="0" borderId="1" xfId="0" applyFont="1" applyBorder="1" applyAlignment="1">
      <alignment horizontal="center" vertical="bottom"/>
    </xf>
    <xf numFmtId="168" fontId="7" fillId="0" borderId="1" xfId="0" applyFont="1" applyBorder="1" applyAlignment="1">
      <alignment horizontal="center" vertical="bottom"/>
    </xf>
    <xf numFmtId="0" fontId="3" fillId="0" borderId="1" xfId="0" applyFont="1" applyBorder="1" applyAlignment="1">
      <alignment vertical="bottom"/>
    </xf>
    <xf numFmtId="0" fontId="14" fillId="0" borderId="0" xfId="0" applyFont="1" applyBorder="1" applyAlignment="1">
      <alignment vertical="bottom"/>
    </xf>
    <xf numFmtId="0" fontId="16" fillId="0" borderId="0" xfId="0" applyFont="1" applyAlignment="1">
      <alignment vertical="bottom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9C6500"/>
      <rgbColor rgb="00800080"/>
      <rgbColor rgb="00008080"/>
      <rgbColor rgb="00BFBFBF"/>
      <rgbColor rgb="00878787"/>
      <rgbColor rgb="009999FF"/>
      <rgbColor rgb="00C0504D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4A7EBB"/>
      <rgbColor rgb="0033CCCC"/>
      <rgbColor rgb="009BBB59"/>
      <rgbColor rgb="00FFCC00"/>
      <rgbColor rgb="00FF9900"/>
      <rgbColor rgb="00FF6600"/>
      <rgbColor rgb="008064A2"/>
      <rgbColor rgb="00969696"/>
      <rgbColor rgb="00003366"/>
      <rgbColor rgb="004F81BD"/>
      <rgbColor rgb="00006100"/>
      <rgbColor rgb="00333300"/>
      <rgbColor rgb="00993300"/>
      <rgbColor rgb="00993366"/>
      <rgbColor rgb="00595959"/>
      <rgbColor rgb="002E5E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www.wps.cn/officeDocument/2020/cellImage" Target="cellimages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Blended CTR and ROAS by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'Weekly Report'!I4</c:f>
              <c:strCache>
                <c:ptCount val="1"/>
                <c:pt idx="0">
                  <c:v>Blended CTR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'Weekly Report'!$A$5:$A$12</c:f>
              <c:numCache>
                <c:formatCode>General</c:formatCode>
                <c:ptCount val="8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</c:numCache>
            </c:numRef>
          </c:cat>
          <c:val>
            <c:numRef>
              <c:f>'Weekly Report'!$I$5:$I$12</c:f>
              <c:numCache>
                <c:formatCode>0.00%</c:formatCode>
                <c:ptCount val="8"/>
                <c:pt idx="0">
                  <c:v>0.0239499881018482</c:v>
                </c:pt>
                <c:pt idx="1">
                  <c:v>0.0258039099817797</c:v>
                </c:pt>
                <c:pt idx="2">
                  <c:v>0.0274881769845299</c:v>
                </c:pt>
                <c:pt idx="3">
                  <c:v>0.0261759286742346</c:v>
                </c:pt>
                <c:pt idx="4">
                  <c:v>0.0259403628880666</c:v>
                </c:pt>
                <c:pt idx="5">
                  <c:v>0.025241638272721</c:v>
                </c:pt>
                <c:pt idx="6">
                  <c:v>0.0221279604100389</c:v>
                </c:pt>
                <c:pt idx="7">
                  <c:v>0.0257549688519727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smooth val="0"/>
        <c:axId val="26473804"/>
        <c:axId val="16123260"/>
      </c:lineChart>
      <c:catAx>
        <c:axId val="264738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16123260"/>
        <c:crosses val="autoZero"/>
        <c:auto val="1"/>
        <c:lblAlgn val="ctr"/>
        <c:lblOffset val="100"/>
        <c:noMultiLvlLbl val="0"/>
      </c:catAx>
      <c:valAx>
        <c:axId val="161232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CTR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264738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Spend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Dashboard!$A$31:$A$34</c:f>
              <c:strCache>
                <c:ptCount val="4"/>
                <c:pt idx="0">
                  <c:v>Google Search</c:v>
                </c:pt>
                <c:pt idx="1">
                  <c:v>Facebook Ads</c:v>
                </c:pt>
                <c:pt idx="2">
                  <c:v>LinkedIn Ads</c:v>
                </c:pt>
                <c:pt idx="3">
                  <c:v>Email</c:v>
                </c:pt>
              </c:strCache>
            </c:strRef>
          </c:cat>
          <c:val>
            <c:numRef>
              <c:f>Dashboard!$B$31:$B$34</c:f>
              <c:numCache>
                <c:formatCode>\$#,##0</c:formatCode>
                <c:ptCount val="4"/>
                <c:pt idx="0">
                  <c:v>26969.96</c:v>
                </c:pt>
                <c:pt idx="1">
                  <c:v>8602.82</c:v>
                </c:pt>
                <c:pt idx="2">
                  <c:v>6749.41</c:v>
                </c:pt>
                <c:pt idx="3">
                  <c:v>480.99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ROAS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Dashboard!D30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Dashboard!$A$31:$A$34</c:f>
              <c:strCache>
                <c:ptCount val="4"/>
                <c:pt idx="0">
                  <c:v>Google Search</c:v>
                </c:pt>
                <c:pt idx="1">
                  <c:v>Facebook Ads</c:v>
                </c:pt>
                <c:pt idx="2">
                  <c:v>LinkedIn Ads</c:v>
                </c:pt>
                <c:pt idx="3">
                  <c:v>Email</c:v>
                </c:pt>
              </c:strCache>
            </c:strRef>
          </c:cat>
          <c:val>
            <c:numRef>
              <c:f>Dashboard!$D$31:$D$34</c:f>
              <c:numCache>
                <c:formatCode>0.00\x</c:formatCode>
                <c:ptCount val="4"/>
                <c:pt idx="0">
                  <c:v>3.17457905017286</c:v>
                </c:pt>
                <c:pt idx="1">
                  <c:v>1.58565795866937</c:v>
                </c:pt>
                <c:pt idx="2">
                  <c:v>5.5510703898563</c:v>
                </c:pt>
                <c:pt idx="3">
                  <c:v>60.6419676084742</c:v>
                </c:pt>
              </c:numCache>
            </c:numRef>
          </c:val>
        </c:ser>
        <c:gapWidth val="150"/>
        <c:overlap val="0"/>
        <c:axId val="29054216"/>
        <c:axId val="21738111"/>
      </c:barChart>
      <c:catAx>
        <c:axId val="2905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21738111"/>
        <c:crosses val="autoZero"/>
        <c:auto val="1"/>
        <c:lblAlgn val="ctr"/>
        <c:lblOffset val="100"/>
        <c:noMultiLvlLbl val="0"/>
      </c:catAx>
      <c:valAx>
        <c:axId val="217381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</a:p>
        </c:txPr>
        <c:crossAx val="290542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14</xdr:row>
      <xdr:rowOff>0</xdr:rowOff>
    </xdr:from>
    <xdr:to>
      <xdr:col>7</xdr:col>
      <xdr:colOff>613224</xdr:colOff>
      <xdr:row>29</xdr:row>
      <xdr:rowOff>12650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3</xdr:row>
      <xdr:rowOff>0</xdr:rowOff>
    </xdr:from>
    <xdr:to>
      <xdr:col>14</xdr:col>
      <xdr:colOff>604810</xdr:colOff>
      <xdr:row>18</xdr:row>
      <xdr:rowOff>12650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14</xdr:col>
      <xdr:colOff>604810</xdr:colOff>
      <xdr:row>34</xdr:row>
      <xdr:rowOff>12650</xdr:rowOff>
    </xdr:to>
    <xdr:graphicFrame macro="">
      <xdr:nvGraphicFramePr>
        <xdr:cNvPr name="图表 2" id="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 showGridLines="0" zoomScale="49">
      <selection activeCell="A2" sqref="A2:F2"/>
    </sheetView>
  </sheetViews>
  <sheetFormatPr defaultRowHeight="15.0" zeroHeight="1"/>
  <cols>
    <col min="1" max="1" customWidth="1" width="20.0" style="0"/>
    <col min="2" max="2" customWidth="1" width="30.0" style="0"/>
    <col min="3" max="6" customWidth="1" width="16.0" style="0"/>
  </cols>
  <sheetData>
    <row r="1" spans="8:8" ht="21.75" customHeight="1">
      <c r="A1" s="1" t="s">
        <v>0</v>
      </c>
      <c r="B1" s="1"/>
      <c r="C1" s="1"/>
      <c r="D1" s="1"/>
      <c r="E1" s="1"/>
      <c r="F1" s="1"/>
    </row>
    <row r="2" spans="8:8" ht="15.75" customHeight="1">
      <c r="A2" s="2"/>
      <c r="B2" s="2"/>
      <c r="C2" s="2"/>
      <c r="D2" s="2"/>
      <c r="E2" s="2"/>
      <c r="F2" s="2"/>
    </row>
    <row r="4" spans="8:8" ht="23.85" customHeight="1">
      <c r="A4" s="3" t="s">
        <v>2</v>
      </c>
      <c r="B4" s="4" t="s">
        <v>3</v>
      </c>
      <c r="C4" s="4"/>
      <c r="D4" s="4"/>
      <c r="E4" s="4"/>
      <c r="F4" s="4"/>
    </row>
    <row r="5" spans="8:8" ht="15.0">
      <c r="A5" s="5"/>
      <c r="B5" s="4"/>
      <c r="C5" s="4"/>
      <c r="D5" s="4"/>
      <c r="E5" s="4"/>
      <c r="F5" s="4"/>
    </row>
    <row r="6" spans="8:8" ht="15.0" customHeight="1">
      <c r="A6" s="3" t="s">
        <v>4</v>
      </c>
      <c r="B6" s="4" t="s">
        <v>5</v>
      </c>
      <c r="C6" s="4"/>
      <c r="D6" s="4"/>
      <c r="E6" s="4"/>
      <c r="F6" s="4"/>
    </row>
    <row r="7" spans="8:8" ht="23.85" customHeight="1">
      <c r="A7" s="5" t="s">
        <v>6</v>
      </c>
      <c r="B7" s="4" t="s">
        <v>7</v>
      </c>
      <c r="C7" s="4"/>
      <c r="D7" s="4"/>
      <c r="E7" s="4"/>
      <c r="F7" s="4"/>
    </row>
    <row r="8" spans="8:8" ht="15.0" customHeight="1">
      <c r="A8" s="5" t="s">
        <v>8</v>
      </c>
      <c r="B8" s="4" t="s">
        <v>9</v>
      </c>
      <c r="C8" s="4"/>
      <c r="D8" s="4"/>
      <c r="E8" s="4"/>
      <c r="F8" s="4"/>
    </row>
    <row r="9" spans="8:8" ht="15.0" customHeight="1">
      <c r="A9" s="5" t="s">
        <v>10</v>
      </c>
      <c r="B9" s="4" t="s">
        <v>11</v>
      </c>
      <c r="C9" s="4"/>
      <c r="D9" s="4"/>
      <c r="E9" s="4"/>
      <c r="F9" s="4"/>
    </row>
    <row r="10" spans="8:8" ht="15.0" customHeight="1">
      <c r="A10" s="5" t="s">
        <v>12</v>
      </c>
      <c r="B10" s="4" t="s">
        <v>13</v>
      </c>
      <c r="C10" s="4"/>
      <c r="D10" s="4"/>
      <c r="E10" s="4"/>
      <c r="F10" s="4"/>
    </row>
    <row r="11" spans="8:8" ht="23.85" customHeight="1">
      <c r="A11" s="5" t="s">
        <v>14</v>
      </c>
      <c r="B11" s="4" t="s">
        <v>15</v>
      </c>
      <c r="C11" s="4"/>
      <c r="D11" s="4"/>
      <c r="E11" s="4"/>
      <c r="F11" s="4"/>
    </row>
    <row r="12" spans="8:8" ht="15.0">
      <c r="A12" s="5"/>
      <c r="B12" s="4"/>
      <c r="C12" s="4"/>
      <c r="D12" s="4"/>
      <c r="E12" s="4"/>
      <c r="F12" s="4"/>
    </row>
    <row r="13" spans="8:8" ht="15.0">
      <c r="A13" s="3" t="s">
        <v>16</v>
      </c>
      <c r="B13" s="4"/>
      <c r="C13" s="4"/>
      <c r="D13" s="4"/>
      <c r="E13" s="4"/>
      <c r="F13" s="4"/>
    </row>
    <row r="14" spans="8:8" ht="15.0" customHeight="1">
      <c r="A14" s="5" t="s">
        <v>17</v>
      </c>
      <c r="B14" s="4" t="s">
        <v>18</v>
      </c>
      <c r="C14" s="4"/>
      <c r="D14" s="4"/>
      <c r="E14" s="4"/>
      <c r="F14" s="4"/>
    </row>
    <row r="15" spans="8:8" ht="15.0" customHeight="1">
      <c r="A15" s="5" t="s">
        <v>19</v>
      </c>
      <c r="B15" s="4" t="s">
        <v>20</v>
      </c>
      <c r="C15" s="4"/>
      <c r="D15" s="4"/>
      <c r="E15" s="4"/>
      <c r="F15" s="4"/>
    </row>
    <row r="16" spans="8:8" ht="15.0" customHeight="1">
      <c r="A16" s="5" t="s">
        <v>21</v>
      </c>
      <c r="B16" s="4" t="s">
        <v>22</v>
      </c>
      <c r="C16" s="4"/>
      <c r="D16" s="4"/>
      <c r="E16" s="4"/>
      <c r="F16" s="4"/>
    </row>
    <row r="17" spans="8:8" ht="15.0" customHeight="1">
      <c r="A17" s="5" t="s">
        <v>23</v>
      </c>
      <c r="B17" s="4" t="s">
        <v>24</v>
      </c>
      <c r="C17" s="4"/>
      <c r="D17" s="4"/>
      <c r="E17" s="4"/>
      <c r="F17" s="4"/>
    </row>
    <row r="18" spans="8:8" ht="15.0" customHeight="1">
      <c r="A18" s="5" t="s">
        <v>25</v>
      </c>
      <c r="B18" s="4" t="s">
        <v>26</v>
      </c>
      <c r="C18" s="4"/>
      <c r="D18" s="4"/>
      <c r="E18" s="4"/>
      <c r="F18" s="4"/>
    </row>
    <row r="19" spans="8:8" ht="15.0" customHeight="1">
      <c r="A19" s="5" t="s">
        <v>27</v>
      </c>
      <c r="B19" s="4" t="s">
        <v>28</v>
      </c>
      <c r="C19" s="4"/>
      <c r="D19" s="4"/>
      <c r="E19" s="4"/>
      <c r="F19" s="4"/>
    </row>
    <row r="20" spans="8:8" ht="15.0" customHeight="1">
      <c r="A20" s="5" t="s">
        <v>29</v>
      </c>
      <c r="B20" s="4" t="s">
        <v>30</v>
      </c>
      <c r="C20" s="4"/>
      <c r="D20" s="4"/>
      <c r="E20" s="4"/>
      <c r="F20" s="4"/>
    </row>
    <row r="21" spans="8:8" ht="15.0">
      <c r="A21" s="5"/>
      <c r="B21" s="4"/>
      <c r="C21" s="4"/>
      <c r="D21" s="4"/>
      <c r="E21" s="4"/>
      <c r="F21" s="4"/>
    </row>
    <row r="22" spans="8:8" ht="15.0">
      <c r="A22" s="3" t="s">
        <v>31</v>
      </c>
      <c r="B22" s="4"/>
      <c r="C22" s="4"/>
      <c r="D22" s="4"/>
      <c r="E22" s="4"/>
      <c r="F22" s="4"/>
    </row>
    <row r="23" spans="8:8" ht="15.0">
      <c r="A23" s="6" t="s">
        <v>32</v>
      </c>
      <c r="B23" s="7" t="s">
        <v>33</v>
      </c>
      <c r="C23" s="7"/>
      <c r="D23" s="7"/>
      <c r="E23" s="7"/>
      <c r="F23" s="7"/>
    </row>
    <row r="24" spans="8:8" ht="15.0">
      <c r="A24" s="8" t="s">
        <v>32</v>
      </c>
      <c r="B24" s="7" t="s">
        <v>34</v>
      </c>
      <c r="C24" s="7"/>
      <c r="D24" s="7"/>
      <c r="E24" s="7"/>
      <c r="F24" s="7"/>
    </row>
    <row r="25" spans="8:8" ht="15.0">
      <c r="A25" s="9" t="s">
        <v>32</v>
      </c>
      <c r="B25" s="7" t="s">
        <v>35</v>
      </c>
      <c r="C25" s="7"/>
      <c r="D25" s="7"/>
      <c r="E25" s="7"/>
      <c r="F25" s="7"/>
    </row>
    <row r="26" spans="8:8" ht="15.0">
      <c r="A26" s="10" t="s">
        <v>32</v>
      </c>
      <c r="B26" s="7" t="s">
        <v>36</v>
      </c>
      <c r="C26" s="7"/>
      <c r="D26" s="7"/>
      <c r="E26" s="7"/>
      <c r="F26" s="7"/>
    </row>
    <row r="27" spans="8:8" ht="15.0">
      <c r="A27" s="11" t="s">
        <v>32</v>
      </c>
      <c r="B27" s="7" t="s">
        <v>37</v>
      </c>
      <c r="C27" s="7"/>
      <c r="D27" s="7"/>
      <c r="E27" s="7"/>
      <c r="F27" s="7"/>
    </row>
    <row r="28" spans="8:8" ht="15.0">
      <c r="A28" s="12" t="s">
        <v>32</v>
      </c>
      <c r="B28" s="7" t="s">
        <v>38</v>
      </c>
      <c r="C28" s="7"/>
      <c r="D28" s="7"/>
      <c r="E28" s="7"/>
      <c r="F28" s="7"/>
    </row>
    <row r="29" spans="8:8" ht="15.0">
      <c r="A29" s="13" t="s">
        <v>32</v>
      </c>
      <c r="B29" s="7" t="s">
        <v>39</v>
      </c>
      <c r="C29" s="7"/>
      <c r="D29" s="7"/>
      <c r="E29" s="7"/>
      <c r="F29" s="7"/>
    </row>
    <row r="31" spans="8:8" ht="15.0">
      <c r="A31" s="3"/>
    </row>
    <row r="32" spans="8:8" ht="27.75" customHeight="1">
      <c r="A32" s="14"/>
      <c r="B32" s="14"/>
      <c r="C32" s="14"/>
      <c r="D32" s="14"/>
      <c r="E32" s="14"/>
      <c r="F32" s="14"/>
    </row>
    <row r="33" spans="8:8" ht="27.75" customHeight="1">
      <c r="A33" s="14"/>
      <c r="B33" s="14"/>
      <c r="C33" s="14"/>
      <c r="D33" s="14"/>
      <c r="E33" s="14"/>
      <c r="F33" s="14"/>
    </row>
  </sheetData>
  <mergeCells count="30">
    <mergeCell ref="B11:F11"/>
    <mergeCell ref="A32:F32"/>
    <mergeCell ref="B10:F10"/>
    <mergeCell ref="B21:F21"/>
    <mergeCell ref="B14:F14"/>
    <mergeCell ref="B16:F16"/>
    <mergeCell ref="B8:F8"/>
    <mergeCell ref="B19:F19"/>
    <mergeCell ref="B6:F6"/>
    <mergeCell ref="B17:F17"/>
    <mergeCell ref="B4:F4"/>
    <mergeCell ref="B15:F15"/>
    <mergeCell ref="A2:F2"/>
    <mergeCell ref="B13:F13"/>
    <mergeCell ref="A33:F33"/>
    <mergeCell ref="B18:F18"/>
    <mergeCell ref="B29:F29"/>
    <mergeCell ref="B28:F28"/>
    <mergeCell ref="B27:F27"/>
    <mergeCell ref="B23:F23"/>
    <mergeCell ref="B25:F25"/>
    <mergeCell ref="B26:F26"/>
    <mergeCell ref="B12:F12"/>
    <mergeCell ref="B24:F24"/>
    <mergeCell ref="B20:F20"/>
    <mergeCell ref="B22:F22"/>
    <mergeCell ref="A1:F1"/>
    <mergeCell ref="B9:F9"/>
    <mergeCell ref="B7:F7"/>
    <mergeCell ref="B5:F5"/>
  </mergeCells>
  <pageMargins left="0.75" right="0.75" top="1.0" bottom="1.0" header="0.511811023622047" footer="0.511811023622047"/>
  <pageSetup paperSize="9"/>
</worksheet>
</file>

<file path=xl/worksheets/sheet2.xml><?xml version="1.0" encoding="utf-8"?>
<worksheet xmlns:r="http://schemas.openxmlformats.org/officeDocument/2006/relationships" xmlns="http://schemas.openxmlformats.org/spreadsheetml/2006/main">
  <dimension ref="A1:S36"/>
  <sheetViews>
    <sheetView workbookViewId="0" showGridLines="0">
      <selection activeCell="A1" sqref="A1:O1"/>
    </sheetView>
  </sheetViews>
  <sheetFormatPr defaultRowHeight="15.0" zeroHeight="1"/>
  <cols>
    <col min="1" max="1" customWidth="1" width="7.0" style="0"/>
    <col min="2" max="2" customWidth="1" width="12.0" style="0"/>
    <col min="3" max="3" customWidth="1" width="8.0" style="0"/>
    <col min="4" max="4" customWidth="1" width="15.0" style="0"/>
    <col min="5" max="5" customWidth="1" width="26.0" style="0"/>
    <col min="6" max="6" customWidth="1" width="12.0" style="0"/>
    <col min="7" max="7" customWidth="1" width="9.0" style="0"/>
    <col min="8" max="8" customWidth="1" width="12.0" style="0"/>
    <col min="9" max="9" customWidth="1" width="8.0" style="0"/>
    <col min="10" max="11" customWidth="1" width="12.0" style="0"/>
    <col min="12" max="14" customWidth="1" width="9.0" style="0"/>
    <col min="15" max="16" customWidth="1" width="10.0" style="0"/>
    <col min="17" max="18" customWidth="1" width="9.0" style="0"/>
  </cols>
  <sheetData>
    <row r="1" spans="8:8" ht="21.75" customHeight="1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8:8" ht="15.75" customHeight="1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8:8" ht="30.0" customHeight="1">
      <c r="A4" s="15" t="s">
        <v>44</v>
      </c>
      <c r="B4" s="15" t="s">
        <v>45</v>
      </c>
      <c r="C4" s="15" t="s">
        <v>46</v>
      </c>
      <c r="D4" s="15" t="s">
        <v>47</v>
      </c>
      <c r="E4" s="15" t="s">
        <v>48</v>
      </c>
      <c r="F4" s="15" t="s">
        <v>49</v>
      </c>
      <c r="G4" s="15" t="s">
        <v>50</v>
      </c>
      <c r="H4" s="15" t="s">
        <v>51</v>
      </c>
      <c r="I4" s="15" t="s">
        <v>52</v>
      </c>
      <c r="J4" s="15" t="s">
        <v>53</v>
      </c>
      <c r="K4" s="15" t="s">
        <v>54</v>
      </c>
      <c r="L4" s="15" t="s">
        <v>17</v>
      </c>
      <c r="M4" s="15" t="s">
        <v>19</v>
      </c>
      <c r="N4" s="15" t="s">
        <v>21</v>
      </c>
      <c r="O4" s="15" t="s">
        <v>55</v>
      </c>
      <c r="P4" s="15" t="s">
        <v>25</v>
      </c>
      <c r="Q4" s="15" t="s">
        <v>27</v>
      </c>
      <c r="R4" s="15" t="s">
        <v>29</v>
      </c>
    </row>
    <row r="5" spans="8:8" ht="15.0">
      <c r="A5" s="6">
        <v>1.0</v>
      </c>
      <c r="B5" s="16">
        <v>46202.0</v>
      </c>
      <c r="C5" s="6">
        <v>1.0</v>
      </c>
      <c r="D5" s="6" t="s">
        <v>56</v>
      </c>
      <c r="E5" s="17" t="s">
        <v>57</v>
      </c>
      <c r="F5" s="6">
        <v>48476.0</v>
      </c>
      <c r="G5" s="6">
        <v>2289.0</v>
      </c>
      <c r="H5" s="18">
        <v>3706.09</v>
      </c>
      <c r="I5" s="6">
        <v>251.0</v>
      </c>
      <c r="J5" s="6">
        <v>58.0</v>
      </c>
      <c r="K5" s="18">
        <v>8357.79</v>
      </c>
      <c r="L5" s="19">
        <f>G5/F5</f>
        <v>0.047219242511758394</v>
      </c>
      <c r="M5" s="20">
        <f>_xlfn.IFERROR(H5/G5,0)</f>
        <v>1.6190869375273045</v>
      </c>
      <c r="N5" s="20">
        <f>_xlfn.IFERROR(H5/F5*1000,0)</f>
        <v>76.45205875072202</v>
      </c>
      <c r="O5" s="19">
        <f>_xlfn.IFERROR(J5/G5,0)</f>
        <v>0.025338575797291395</v>
      </c>
      <c r="P5" s="20">
        <f>_xlfn.IFERROR(H5/I5,0)</f>
        <v>14.765298804780876</v>
      </c>
      <c r="Q5" s="21">
        <f>_xlfn.IFERROR((K5-H5)/H5,0)</f>
        <v>1.2551503066574208</v>
      </c>
      <c r="R5" s="22">
        <f>_xlfn.IFERROR(K5/H5,0)</f>
        <v>2.2551503066574208</v>
      </c>
    </row>
    <row r="6" spans="8:8" ht="15.0">
      <c r="A6" s="6">
        <v>1.0</v>
      </c>
      <c r="B6" s="16">
        <v>46202.0</v>
      </c>
      <c r="C6" s="6">
        <v>1.0</v>
      </c>
      <c r="D6" s="6" t="s">
        <v>58</v>
      </c>
      <c r="E6" s="17" t="s">
        <v>59</v>
      </c>
      <c r="F6" s="6">
        <v>115741.0</v>
      </c>
      <c r="G6" s="6">
        <v>1469.0</v>
      </c>
      <c r="H6" s="18">
        <v>1055.87</v>
      </c>
      <c r="I6" s="6">
        <v>104.0</v>
      </c>
      <c r="J6" s="6">
        <v>12.0</v>
      </c>
      <c r="K6" s="18">
        <v>1261.93</v>
      </c>
      <c r="L6" s="19">
        <f>G6/F6</f>
        <v>0.012692131569625283</v>
      </c>
      <c r="M6" s="20">
        <f>_xlfn.IFERROR(H6/G6,0)</f>
        <v>0.7187678692988426</v>
      </c>
      <c r="N6" s="20">
        <f>_xlfn.IFERROR(H6/F6*1000,0)</f>
        <v>9.122696365160142</v>
      </c>
      <c r="O6" s="19">
        <f>_xlfn.IFERROR(J6/G6,0)</f>
        <v>0.008168822328114363</v>
      </c>
      <c r="P6" s="20">
        <f>_xlfn.IFERROR(H6/I6,0)</f>
        <v>10.152596153846153</v>
      </c>
      <c r="Q6" s="21">
        <f>_xlfn.IFERROR((K6-H6)/H6,0)</f>
        <v>0.1951566007178916</v>
      </c>
      <c r="R6" s="22">
        <f>_xlfn.IFERROR(K6/H6,0)</f>
        <v>1.1951566007178915</v>
      </c>
    </row>
    <row r="7" spans="8:8" ht="15.0">
      <c r="A7" s="6">
        <v>1.0</v>
      </c>
      <c r="B7" s="16">
        <v>46202.0</v>
      </c>
      <c r="C7" s="6">
        <v>1.0</v>
      </c>
      <c r="D7" s="6" t="s">
        <v>60</v>
      </c>
      <c r="E7" s="17" t="s">
        <v>61</v>
      </c>
      <c r="F7" s="6">
        <v>15217.0</v>
      </c>
      <c r="G7" s="6">
        <v>134.0</v>
      </c>
      <c r="H7" s="18">
        <v>794.89</v>
      </c>
      <c r="I7" s="6">
        <v>27.0</v>
      </c>
      <c r="J7" s="6">
        <v>6.0</v>
      </c>
      <c r="K7" s="18">
        <v>4408.58</v>
      </c>
      <c r="L7" s="19">
        <f>G7/F7</f>
        <v>0.00880594072419005</v>
      </c>
      <c r="M7" s="20">
        <f>_xlfn.IFERROR(H7/G7,0)</f>
        <v>5.932014925373134</v>
      </c>
      <c r="N7" s="20">
        <f>_xlfn.IFERROR(H7/F7*1000,0)</f>
        <v>52.23697180784649</v>
      </c>
      <c r="O7" s="19">
        <f>_xlfn.IFERROR(J7/G7,0)</f>
        <v>0.04477611940298507</v>
      </c>
      <c r="P7" s="20">
        <f>_xlfn.IFERROR(H7/I7,0)</f>
        <v>29.44037037037037</v>
      </c>
      <c r="Q7" s="21">
        <f>_xlfn.IFERROR((K7-H7)/H7,0)</f>
        <v>4.546151039766508</v>
      </c>
      <c r="R7" s="22">
        <f>_xlfn.IFERROR(K7/H7,0)</f>
        <v>5.546151039766508</v>
      </c>
    </row>
    <row r="8" spans="8:8" ht="15.0">
      <c r="A8" s="6">
        <v>1.0</v>
      </c>
      <c r="B8" s="16">
        <v>46202.0</v>
      </c>
      <c r="C8" s="6">
        <v>1.0</v>
      </c>
      <c r="D8" s="6" t="s">
        <v>62</v>
      </c>
      <c r="E8" s="17" t="s">
        <v>63</v>
      </c>
      <c r="F8" s="6">
        <v>22278.0</v>
      </c>
      <c r="G8" s="6">
        <v>939.0</v>
      </c>
      <c r="H8" s="18">
        <v>47.26</v>
      </c>
      <c r="I8" s="6">
        <v>143.0</v>
      </c>
      <c r="J8" s="6">
        <v>37.0</v>
      </c>
      <c r="K8" s="18">
        <v>4573.57</v>
      </c>
      <c r="L8" s="19">
        <f>G8/F8</f>
        <v>0.042149205494209536</v>
      </c>
      <c r="M8" s="20">
        <f>_xlfn.IFERROR(H8/G8,0)</f>
        <v>0.05033013844515442</v>
      </c>
      <c r="N8" s="20">
        <f>_xlfn.IFERROR(H8/F8*1000,0)</f>
        <v>2.1213753478768287</v>
      </c>
      <c r="O8" s="19">
        <f>_xlfn.IFERROR(J8/G8,0)</f>
        <v>0.039403620873269436</v>
      </c>
      <c r="P8" s="20">
        <f>_xlfn.IFERROR(H8/I8,0)</f>
        <v>0.3304895104895105</v>
      </c>
      <c r="Q8" s="21">
        <f>_xlfn.IFERROR((K8-H8)/H8,0)</f>
        <v>95.77465086754125</v>
      </c>
      <c r="R8" s="22">
        <f>_xlfn.IFERROR(K8/H8,0)</f>
        <v>96.77465086754125</v>
      </c>
    </row>
    <row r="9" spans="8:8" ht="15.0">
      <c r="A9" s="6">
        <v>2.0</v>
      </c>
      <c r="B9" s="16">
        <v>46209.0</v>
      </c>
      <c r="C9" s="6">
        <v>1.0</v>
      </c>
      <c r="D9" s="6" t="s">
        <v>56</v>
      </c>
      <c r="E9" s="17" t="s">
        <v>57</v>
      </c>
      <c r="F9" s="6">
        <v>40547.0</v>
      </c>
      <c r="G9" s="6">
        <v>1999.0</v>
      </c>
      <c r="H9" s="18">
        <v>3267.26</v>
      </c>
      <c r="I9" s="6">
        <v>208.0</v>
      </c>
      <c r="J9" s="6">
        <v>52.0</v>
      </c>
      <c r="K9" s="18">
        <v>8026.68</v>
      </c>
      <c r="L9" s="19">
        <f>G9/F9</f>
        <v>0.04930081140404962</v>
      </c>
      <c r="M9" s="20">
        <f>_xlfn.IFERROR(H9/G9,0)</f>
        <v>1.634447223611806</v>
      </c>
      <c r="N9" s="20">
        <f>_xlfn.IFERROR(H9/F9*1000,0)</f>
        <v>80.57957432115818</v>
      </c>
      <c r="O9" s="19">
        <f>_xlfn.IFERROR(J9/G9,0)</f>
        <v>0.026013006503251626</v>
      </c>
      <c r="P9" s="20">
        <f>_xlfn.IFERROR(H9/I9,0)</f>
        <v>15.70798076923077</v>
      </c>
      <c r="Q9" s="21">
        <f>_xlfn.IFERROR((K9-H9)/H9,0)</f>
        <v>1.4567007217056493</v>
      </c>
      <c r="R9" s="22">
        <f>_xlfn.IFERROR(K9/H9,0)</f>
        <v>2.456700721705649</v>
      </c>
    </row>
    <row r="10" spans="8:8" ht="15.0">
      <c r="A10" s="6">
        <v>2.0</v>
      </c>
      <c r="B10" s="16">
        <v>46209.0</v>
      </c>
      <c r="C10" s="6">
        <v>1.0</v>
      </c>
      <c r="D10" s="6" t="s">
        <v>58</v>
      </c>
      <c r="E10" s="17" t="s">
        <v>59</v>
      </c>
      <c r="F10" s="6">
        <v>102541.0</v>
      </c>
      <c r="G10" s="6">
        <v>1726.0</v>
      </c>
      <c r="H10" s="18">
        <v>1506.54</v>
      </c>
      <c r="I10" s="6">
        <v>159.0</v>
      </c>
      <c r="J10" s="6">
        <v>21.0</v>
      </c>
      <c r="K10" s="18">
        <v>2503.06</v>
      </c>
      <c r="L10" s="19">
        <f>G10/F10</f>
        <v>0.01683229147365444</v>
      </c>
      <c r="M10" s="20">
        <f>_xlfn.IFERROR(H10/G10,0)</f>
        <v>0.8728505214368482</v>
      </c>
      <c r="N10" s="20">
        <f>_xlfn.IFERROR(H10/F10*1000,0)</f>
        <v>14.692074389756293</v>
      </c>
      <c r="O10" s="19">
        <f>_xlfn.IFERROR(J10/G10,0)</f>
        <v>0.01216685979142526</v>
      </c>
      <c r="P10" s="20">
        <f>_xlfn.IFERROR(H10/I10,0)</f>
        <v>9.475094339622641</v>
      </c>
      <c r="Q10" s="21">
        <f>_xlfn.IFERROR((K10-H10)/H10,0)</f>
        <v>0.6614626893411393</v>
      </c>
      <c r="R10" s="22">
        <f>_xlfn.IFERROR(K10/H10,0)</f>
        <v>1.6614626893411393</v>
      </c>
    </row>
    <row r="11" spans="8:8" ht="15.0">
      <c r="A11" s="6">
        <v>2.0</v>
      </c>
      <c r="B11" s="16">
        <v>46209.0</v>
      </c>
      <c r="C11" s="6">
        <v>1.0</v>
      </c>
      <c r="D11" s="6" t="s">
        <v>60</v>
      </c>
      <c r="E11" s="17" t="s">
        <v>61</v>
      </c>
      <c r="F11" s="6">
        <v>18100.0</v>
      </c>
      <c r="G11" s="6">
        <v>116.0</v>
      </c>
      <c r="H11" s="18">
        <v>590.02</v>
      </c>
      <c r="I11" s="6">
        <v>23.0</v>
      </c>
      <c r="J11" s="6">
        <v>5.0</v>
      </c>
      <c r="K11" s="18">
        <v>3542.45</v>
      </c>
      <c r="L11" s="19">
        <f>G11/F11</f>
        <v>0.0064088397790055245</v>
      </c>
      <c r="M11" s="20">
        <f>_xlfn.IFERROR(H11/G11,0)</f>
        <v>5.086379310344827</v>
      </c>
      <c r="N11" s="20">
        <f>_xlfn.IFERROR(H11/F11*1000,0)</f>
        <v>32.597790055248616</v>
      </c>
      <c r="O11" s="19">
        <f>_xlfn.IFERROR(J11/G11,0)</f>
        <v>0.04310344827586207</v>
      </c>
      <c r="P11" s="20">
        <f>_xlfn.IFERROR(H11/I11,0)</f>
        <v>25.65304347826087</v>
      </c>
      <c r="Q11" s="21">
        <f>_xlfn.IFERROR((K11-H11)/H11,0)</f>
        <v>5.003949018677333</v>
      </c>
      <c r="R11" s="22">
        <f>_xlfn.IFERROR(K11/H11,0)</f>
        <v>6.003949018677333</v>
      </c>
    </row>
    <row r="12" spans="8:8" ht="15.0">
      <c r="A12" s="6">
        <v>2.0</v>
      </c>
      <c r="B12" s="16">
        <v>46209.0</v>
      </c>
      <c r="C12" s="6">
        <v>1.0</v>
      </c>
      <c r="D12" s="6" t="s">
        <v>62</v>
      </c>
      <c r="E12" s="17" t="s">
        <v>63</v>
      </c>
      <c r="F12" s="6">
        <v>21575.0</v>
      </c>
      <c r="G12" s="6">
        <v>875.0</v>
      </c>
      <c r="H12" s="18">
        <v>45.75</v>
      </c>
      <c r="I12" s="6">
        <v>113.0</v>
      </c>
      <c r="J12" s="6">
        <v>25.0</v>
      </c>
      <c r="K12" s="18">
        <v>2829.79</v>
      </c>
      <c r="L12" s="19">
        <f>G12/F12</f>
        <v>0.04055619930475087</v>
      </c>
      <c r="M12" s="20">
        <f>_xlfn.IFERROR(H12/G12,0)</f>
        <v>0.05228571428571428</v>
      </c>
      <c r="N12" s="20">
        <f>_xlfn.IFERROR(H12/F12*1000,0)</f>
        <v>2.1205098493626884</v>
      </c>
      <c r="O12" s="19">
        <f>_xlfn.IFERROR(J12/G12,0)</f>
        <v>0.02857142857142857</v>
      </c>
      <c r="P12" s="20">
        <f>_xlfn.IFERROR(H12/I12,0)</f>
        <v>0.40486725663716816</v>
      </c>
      <c r="Q12" s="21">
        <f>_xlfn.IFERROR((K12-H12)/H12,0)</f>
        <v>60.85333333333333</v>
      </c>
      <c r="R12" s="22">
        <f>_xlfn.IFERROR(K12/H12,0)</f>
        <v>61.85333333333333</v>
      </c>
    </row>
    <row r="13" spans="8:8" ht="15.0">
      <c r="A13" s="6">
        <v>3.0</v>
      </c>
      <c r="B13" s="16">
        <v>46216.0</v>
      </c>
      <c r="C13" s="6">
        <v>1.0</v>
      </c>
      <c r="D13" s="6" t="s">
        <v>56</v>
      </c>
      <c r="E13" s="17" t="s">
        <v>57</v>
      </c>
      <c r="F13" s="6">
        <v>41814.0</v>
      </c>
      <c r="G13" s="6">
        <v>2606.0</v>
      </c>
      <c r="H13" s="18">
        <v>3560.03</v>
      </c>
      <c r="I13" s="6">
        <v>308.0</v>
      </c>
      <c r="J13" s="6">
        <v>88.0</v>
      </c>
      <c r="K13" s="18">
        <v>12892.54</v>
      </c>
      <c r="L13" s="19">
        <f>G13/F13</f>
        <v>0.0623236236667145</v>
      </c>
      <c r="M13" s="20">
        <f>_xlfn.IFERROR(H13/G13,0)</f>
        <v>1.3660897927858788</v>
      </c>
      <c r="N13" s="20">
        <f>_xlfn.IFERROR(H13/F13*1000,0)</f>
        <v>85.13966614052711</v>
      </c>
      <c r="O13" s="19">
        <f>_xlfn.IFERROR(J13/G13,0)</f>
        <v>0.03376822716807368</v>
      </c>
      <c r="P13" s="20">
        <f>_xlfn.IFERROR(H13/I13,0)</f>
        <v>11.55853896103896</v>
      </c>
      <c r="Q13" s="21">
        <f>_xlfn.IFERROR((K13-H13)/H13,0)</f>
        <v>2.621469481998747</v>
      </c>
      <c r="R13" s="22">
        <f>_xlfn.IFERROR(K13/H13,0)</f>
        <v>3.6214694819987474</v>
      </c>
    </row>
    <row r="14" spans="8:8" ht="15.0">
      <c r="A14" s="6">
        <v>3.0</v>
      </c>
      <c r="B14" s="16">
        <v>46216.0</v>
      </c>
      <c r="C14" s="6">
        <v>1.0</v>
      </c>
      <c r="D14" s="6" t="s">
        <v>58</v>
      </c>
      <c r="E14" s="17" t="s">
        <v>59</v>
      </c>
      <c r="F14" s="6">
        <v>103283.0</v>
      </c>
      <c r="G14" s="6">
        <v>1413.0</v>
      </c>
      <c r="H14" s="18">
        <v>928.05</v>
      </c>
      <c r="I14" s="6">
        <v>139.0</v>
      </c>
      <c r="J14" s="6">
        <v>19.0</v>
      </c>
      <c r="K14" s="18">
        <v>2057.2</v>
      </c>
      <c r="L14" s="19">
        <f>G14/F14</f>
        <v>0.013680857449919153</v>
      </c>
      <c r="M14" s="20">
        <f>_xlfn.IFERROR(H14/G14,0)</f>
        <v>0.6567940552016985</v>
      </c>
      <c r="N14" s="20">
        <f>_xlfn.IFERROR(H14/F14*1000,0)</f>
        <v>8.985505843168768</v>
      </c>
      <c r="O14" s="19">
        <f>_xlfn.IFERROR(J14/G14,0)</f>
        <v>0.013446567586694975</v>
      </c>
      <c r="P14" s="20">
        <f>_xlfn.IFERROR(H14/I14,0)</f>
        <v>6.676618705035971</v>
      </c>
      <c r="Q14" s="21">
        <f>_xlfn.IFERROR((K14-H14)/H14,0)</f>
        <v>1.216690911050051</v>
      </c>
      <c r="R14" s="22">
        <f>_xlfn.IFERROR(K14/H14,0)</f>
        <v>2.2166909110500512</v>
      </c>
    </row>
    <row r="15" spans="8:8" ht="15.0">
      <c r="A15" s="6">
        <v>3.0</v>
      </c>
      <c r="B15" s="16">
        <v>46216.0</v>
      </c>
      <c r="C15" s="6">
        <v>1.0</v>
      </c>
      <c r="D15" s="6" t="s">
        <v>60</v>
      </c>
      <c r="E15" s="17" t="s">
        <v>61</v>
      </c>
      <c r="F15" s="6">
        <v>16401.0</v>
      </c>
      <c r="G15" s="6">
        <v>142.0</v>
      </c>
      <c r="H15" s="18">
        <v>708.53</v>
      </c>
      <c r="I15" s="6">
        <v>27.0</v>
      </c>
      <c r="J15" s="6">
        <v>5.0</v>
      </c>
      <c r="K15" s="18">
        <v>4388.09</v>
      </c>
      <c r="L15" s="19">
        <f>G15/F15</f>
        <v>0.008658008658008658</v>
      </c>
      <c r="M15" s="20">
        <f>_xlfn.IFERROR(H15/G15,0)</f>
        <v>4.989647887323944</v>
      </c>
      <c r="N15" s="20">
        <f>_xlfn.IFERROR(H15/F15*1000,0)</f>
        <v>43.20041460886531</v>
      </c>
      <c r="O15" s="19">
        <f>_xlfn.IFERROR(J15/G15,0)</f>
        <v>0.035211267605633804</v>
      </c>
      <c r="P15" s="20">
        <f>_xlfn.IFERROR(H15/I15,0)</f>
        <v>26.24185185185185</v>
      </c>
      <c r="Q15" s="21">
        <f>_xlfn.IFERROR((K15-H15)/H15,0)</f>
        <v>5.193231055848024</v>
      </c>
      <c r="R15" s="22">
        <f>_xlfn.IFERROR(K15/H15,0)</f>
        <v>6.193231055848024</v>
      </c>
    </row>
    <row r="16" spans="8:8" ht="15.0">
      <c r="A16" s="6">
        <v>3.0</v>
      </c>
      <c r="B16" s="16">
        <v>46216.0</v>
      </c>
      <c r="C16" s="6">
        <v>1.0</v>
      </c>
      <c r="D16" s="6" t="s">
        <v>62</v>
      </c>
      <c r="E16" s="17" t="s">
        <v>63</v>
      </c>
      <c r="F16" s="6">
        <v>25637.0</v>
      </c>
      <c r="G16" s="6">
        <v>983.0</v>
      </c>
      <c r="H16" s="18">
        <v>82.8</v>
      </c>
      <c r="I16" s="6">
        <v>151.0</v>
      </c>
      <c r="J16" s="6">
        <v>40.0</v>
      </c>
      <c r="K16" s="18">
        <v>4766.48</v>
      </c>
      <c r="L16" s="19">
        <f>G16/F16</f>
        <v>0.038343019854117096</v>
      </c>
      <c r="M16" s="20">
        <f>_xlfn.IFERROR(H16/G16,0)</f>
        <v>0.08423194303153611</v>
      </c>
      <c r="N16" s="20">
        <f>_xlfn.IFERROR(H16/F16*1000,0)</f>
        <v>3.2297070640090495</v>
      </c>
      <c r="O16" s="19">
        <f>_xlfn.IFERROR(J16/G16,0)</f>
        <v>0.04069175991861648</v>
      </c>
      <c r="P16" s="20">
        <f>_xlfn.IFERROR(H16/I16,0)</f>
        <v>0.5483443708609271</v>
      </c>
      <c r="Q16" s="21">
        <f>_xlfn.IFERROR((K16-H16)/H16,0)</f>
        <v>56.56618357487922</v>
      </c>
      <c r="R16" s="22">
        <f>_xlfn.IFERROR(K16/H16,0)</f>
        <v>57.566183574879226</v>
      </c>
    </row>
    <row r="17" spans="8:8" ht="15.0">
      <c r="A17" s="6">
        <v>4.0</v>
      </c>
      <c r="B17" s="16">
        <v>46223.0</v>
      </c>
      <c r="C17" s="6">
        <v>1.0</v>
      </c>
      <c r="D17" s="6" t="s">
        <v>56</v>
      </c>
      <c r="E17" s="17" t="s">
        <v>57</v>
      </c>
      <c r="F17" s="6">
        <v>38525.0</v>
      </c>
      <c r="G17" s="6">
        <v>2354.0</v>
      </c>
      <c r="H17" s="18">
        <v>3250.44</v>
      </c>
      <c r="I17" s="6">
        <v>242.0</v>
      </c>
      <c r="J17" s="6">
        <v>71.0</v>
      </c>
      <c r="K17" s="18">
        <v>11550.79</v>
      </c>
      <c r="L17" s="19">
        <f>G17/F17</f>
        <v>0.06110317975340688</v>
      </c>
      <c r="M17" s="20">
        <f>_xlfn.IFERROR(H17/G17,0)</f>
        <v>1.3808156329651657</v>
      </c>
      <c r="N17" s="20">
        <f>_xlfn.IFERROR(H17/F17*1000,0)</f>
        <v>84.37222582738482</v>
      </c>
      <c r="O17" s="19">
        <f>_xlfn.IFERROR(J17/G17,0)</f>
        <v>0.03016142735768904</v>
      </c>
      <c r="P17" s="20">
        <f>_xlfn.IFERROR(H17/I17,0)</f>
        <v>13.431570247933884</v>
      </c>
      <c r="Q17" s="21">
        <f>_xlfn.IFERROR((K17-H17)/H17,0)</f>
        <v>2.553608126899743</v>
      </c>
      <c r="R17" s="22">
        <f>_xlfn.IFERROR(K17/H17,0)</f>
        <v>3.553608126899743</v>
      </c>
    </row>
    <row r="18" spans="8:8" ht="15.0">
      <c r="A18" s="6">
        <v>4.0</v>
      </c>
      <c r="B18" s="16">
        <v>46223.0</v>
      </c>
      <c r="C18" s="6">
        <v>1.0</v>
      </c>
      <c r="D18" s="6" t="s">
        <v>58</v>
      </c>
      <c r="E18" s="17" t="s">
        <v>59</v>
      </c>
      <c r="F18" s="6">
        <v>100622.0</v>
      </c>
      <c r="G18" s="6">
        <v>1379.0</v>
      </c>
      <c r="H18" s="18">
        <v>1033.83</v>
      </c>
      <c r="I18" s="6">
        <v>133.0</v>
      </c>
      <c r="J18" s="6">
        <v>18.0</v>
      </c>
      <c r="K18" s="18">
        <v>1697.15</v>
      </c>
      <c r="L18" s="19">
        <f>G18/F18</f>
        <v>0.01370475641509809</v>
      </c>
      <c r="M18" s="20">
        <f>_xlfn.IFERROR(H18/G18,0)</f>
        <v>0.7496954314720812</v>
      </c>
      <c r="N18" s="20">
        <f>_xlfn.IFERROR(H18/F18*1000,0)</f>
        <v>10.274393273836735</v>
      </c>
      <c r="O18" s="19">
        <f>_xlfn.IFERROR(J18/G18,0)</f>
        <v>0.01305293691080493</v>
      </c>
      <c r="P18" s="20">
        <f>_xlfn.IFERROR(H18/I18,0)</f>
        <v>7.773157894736841</v>
      </c>
      <c r="Q18" s="21">
        <f>_xlfn.IFERROR((K18-H18)/H18,0)</f>
        <v>0.6416141918884152</v>
      </c>
      <c r="R18" s="22">
        <f>_xlfn.IFERROR(K18/H18,0)</f>
        <v>1.641614191888415</v>
      </c>
    </row>
    <row r="19" spans="8:8" ht="15.0">
      <c r="A19" s="6">
        <v>4.0</v>
      </c>
      <c r="B19" s="16">
        <v>46223.0</v>
      </c>
      <c r="C19" s="6">
        <v>1.0</v>
      </c>
      <c r="D19" s="6" t="s">
        <v>60</v>
      </c>
      <c r="E19" s="17" t="s">
        <v>61</v>
      </c>
      <c r="F19" s="6">
        <v>16143.0</v>
      </c>
      <c r="G19" s="6">
        <v>117.0</v>
      </c>
      <c r="H19" s="18">
        <v>657.86</v>
      </c>
      <c r="I19" s="6">
        <v>21.0</v>
      </c>
      <c r="J19" s="6">
        <v>5.0</v>
      </c>
      <c r="K19" s="18">
        <v>4346.73</v>
      </c>
      <c r="L19" s="19">
        <f>G19/F19</f>
        <v>0.007247723471473704</v>
      </c>
      <c r="M19" s="20">
        <f>_xlfn.IFERROR(H19/G19,0)</f>
        <v>5.622735042735043</v>
      </c>
      <c r="N19" s="20">
        <f>_xlfn.IFERROR(H19/F19*1000,0)</f>
        <v>40.75202874310847</v>
      </c>
      <c r="O19" s="19">
        <f>_xlfn.IFERROR(J19/G19,0)</f>
        <v>0.042735042735042736</v>
      </c>
      <c r="P19" s="20">
        <f>_xlfn.IFERROR(H19/I19,0)</f>
        <v>31.326666666666668</v>
      </c>
      <c r="Q19" s="21">
        <f>_xlfn.IFERROR((K19-H19)/H19,0)</f>
        <v>5.607378469583193</v>
      </c>
      <c r="R19" s="22">
        <f>_xlfn.IFERROR(K19/H19,0)</f>
        <v>6.607378469583193</v>
      </c>
    </row>
    <row r="20" spans="8:8" ht="15.0">
      <c r="A20" s="6">
        <v>4.0</v>
      </c>
      <c r="B20" s="16">
        <v>46223.0</v>
      </c>
      <c r="C20" s="6">
        <v>1.0</v>
      </c>
      <c r="D20" s="6" t="s">
        <v>62</v>
      </c>
      <c r="E20" s="17" t="s">
        <v>63</v>
      </c>
      <c r="F20" s="6">
        <v>23271.0</v>
      </c>
      <c r="G20" s="6">
        <v>824.0</v>
      </c>
      <c r="H20" s="18">
        <v>82.29</v>
      </c>
      <c r="I20" s="6">
        <v>103.0</v>
      </c>
      <c r="J20" s="6">
        <v>25.0</v>
      </c>
      <c r="K20" s="18">
        <v>3505.78</v>
      </c>
      <c r="L20" s="19">
        <f>G20/F20</f>
        <v>0.03540887800266426</v>
      </c>
      <c r="M20" s="20">
        <f>_xlfn.IFERROR(H20/G20,0)</f>
        <v>0.09986650485436895</v>
      </c>
      <c r="N20" s="20">
        <f>_xlfn.IFERROR(H20/F20*1000,0)</f>
        <v>3.536160886940828</v>
      </c>
      <c r="O20" s="19">
        <f>_xlfn.IFERROR(J20/G20,0)</f>
        <v>0.03033980582524272</v>
      </c>
      <c r="P20" s="20">
        <f>_xlfn.IFERROR(H20/I20,0)</f>
        <v>0.7989320388349516</v>
      </c>
      <c r="Q20" s="21">
        <f>_xlfn.IFERROR((K20-H20)/H20,0)</f>
        <v>41.6027463847369</v>
      </c>
      <c r="R20" s="22">
        <f>_xlfn.IFERROR(K20/H20,0)</f>
        <v>42.6027463847369</v>
      </c>
    </row>
    <row r="21" spans="8:8" ht="15.0">
      <c r="A21" s="6">
        <v>5.0</v>
      </c>
      <c r="B21" s="16">
        <v>46230.0</v>
      </c>
      <c r="C21" s="6">
        <v>2.0</v>
      </c>
      <c r="D21" s="6" t="s">
        <v>56</v>
      </c>
      <c r="E21" s="17" t="s">
        <v>57</v>
      </c>
      <c r="F21" s="6">
        <v>39796.0</v>
      </c>
      <c r="G21" s="6">
        <v>1912.0</v>
      </c>
      <c r="H21" s="18">
        <v>2317.32</v>
      </c>
      <c r="I21" s="6">
        <v>243.0</v>
      </c>
      <c r="J21" s="6">
        <v>65.0</v>
      </c>
      <c r="K21" s="18">
        <v>10100.4</v>
      </c>
      <c r="L21" s="19">
        <f>G21/F21</f>
        <v>0.048045029651221226</v>
      </c>
      <c r="M21" s="20">
        <f>_xlfn.IFERROR(H21/G21,0)</f>
        <v>1.211987447698745</v>
      </c>
      <c r="N21" s="20">
        <f>_xlfn.IFERROR(H21/F21*1000,0)</f>
        <v>58.229972861594135</v>
      </c>
      <c r="O21" s="19">
        <f>_xlfn.IFERROR(J21/G21,0)</f>
        <v>0.03399581589958159</v>
      </c>
      <c r="P21" s="20">
        <f>_xlfn.IFERROR(H21/I21,0)</f>
        <v>9.536296296296298</v>
      </c>
      <c r="Q21" s="21">
        <f>_xlfn.IFERROR((K21-H21)/H21,0)</f>
        <v>3.3586556884677123</v>
      </c>
      <c r="R21" s="22">
        <f>_xlfn.IFERROR(K21/H21,0)</f>
        <v>4.358655688467712</v>
      </c>
    </row>
    <row r="22" spans="8:8" ht="15.0">
      <c r="A22" s="6">
        <v>5.0</v>
      </c>
      <c r="B22" s="16">
        <v>46230.0</v>
      </c>
      <c r="C22" s="6">
        <v>2.0</v>
      </c>
      <c r="D22" s="6" t="s">
        <v>58</v>
      </c>
      <c r="E22" s="17" t="s">
        <v>59</v>
      </c>
      <c r="F22" s="6">
        <v>119052.0</v>
      </c>
      <c r="G22" s="6">
        <v>2377.0</v>
      </c>
      <c r="H22" s="18">
        <v>1810.43</v>
      </c>
      <c r="I22" s="6">
        <v>236.0</v>
      </c>
      <c r="J22" s="6">
        <v>36.0</v>
      </c>
      <c r="K22" s="18">
        <v>3252.4</v>
      </c>
      <c r="L22" s="19">
        <f>G22/F22</f>
        <v>0.019966065248798844</v>
      </c>
      <c r="M22" s="20">
        <f>_xlfn.IFERROR(H22/G22,0)</f>
        <v>0.7616449305847708</v>
      </c>
      <c r="N22" s="20">
        <f>_xlfn.IFERROR(H22/F22*1000,0)</f>
        <v>15.2070523804724</v>
      </c>
      <c r="O22" s="19">
        <f>_xlfn.IFERROR(J22/G22,0)</f>
        <v>0.015145140933950358</v>
      </c>
      <c r="P22" s="20">
        <f>_xlfn.IFERROR(H22/I22,0)</f>
        <v>7.6713135593220345</v>
      </c>
      <c r="Q22" s="21">
        <f>_xlfn.IFERROR((K22-H22)/H22,0)</f>
        <v>0.7964792894505726</v>
      </c>
      <c r="R22" s="22">
        <f>_xlfn.IFERROR(K22/H22,0)</f>
        <v>1.7964792894505726</v>
      </c>
    </row>
    <row r="23" spans="8:8" ht="15.0">
      <c r="A23" s="6">
        <v>5.0</v>
      </c>
      <c r="B23" s="16">
        <v>46230.0</v>
      </c>
      <c r="C23" s="6">
        <v>2.0</v>
      </c>
      <c r="D23" s="6" t="s">
        <v>60</v>
      </c>
      <c r="E23" s="17" t="s">
        <v>61</v>
      </c>
      <c r="F23" s="6">
        <v>20904.0</v>
      </c>
      <c r="G23" s="6">
        <v>137.0</v>
      </c>
      <c r="H23" s="18">
        <v>858.93</v>
      </c>
      <c r="I23" s="6">
        <v>28.0</v>
      </c>
      <c r="J23" s="6">
        <v>6.0</v>
      </c>
      <c r="K23" s="18">
        <v>4212.32</v>
      </c>
      <c r="L23" s="19">
        <f>G23/F23</f>
        <v>0.006553769613471106</v>
      </c>
      <c r="M23" s="20">
        <f>_xlfn.IFERROR(H23/G23,0)</f>
        <v>6.26956204379562</v>
      </c>
      <c r="N23" s="20">
        <f>_xlfn.IFERROR(H23/F23*1000,0)</f>
        <v>41.08926521239953</v>
      </c>
      <c r="O23" s="19">
        <f>_xlfn.IFERROR(J23/G23,0)</f>
        <v>0.043795620437956206</v>
      </c>
      <c r="P23" s="20">
        <f>_xlfn.IFERROR(H23/I23,0)</f>
        <v>30.676071428571426</v>
      </c>
      <c r="Q23" s="21">
        <f>_xlfn.IFERROR((K23-H23)/H23,0)</f>
        <v>3.9041481843689243</v>
      </c>
      <c r="R23" s="22">
        <f>_xlfn.IFERROR(K23/H23,0)</f>
        <v>4.904148184368924</v>
      </c>
    </row>
    <row r="24" spans="8:8" ht="15.0">
      <c r="A24" s="6">
        <v>5.0</v>
      </c>
      <c r="B24" s="16">
        <v>46230.0</v>
      </c>
      <c r="C24" s="6">
        <v>2.0</v>
      </c>
      <c r="D24" s="6" t="s">
        <v>62</v>
      </c>
      <c r="E24" s="17" t="s">
        <v>63</v>
      </c>
      <c r="F24" s="6">
        <v>22404.0</v>
      </c>
      <c r="G24" s="6">
        <v>818.0</v>
      </c>
      <c r="H24" s="18">
        <v>59.46</v>
      </c>
      <c r="I24" s="6">
        <v>129.0</v>
      </c>
      <c r="J24" s="6">
        <v>35.0</v>
      </c>
      <c r="K24" s="18">
        <v>4218.74</v>
      </c>
      <c r="L24" s="19">
        <f>G24/F24</f>
        <v>0.036511337261203355</v>
      </c>
      <c r="M24" s="20">
        <f>_xlfn.IFERROR(H24/G24,0)</f>
        <v>0.07268948655256724</v>
      </c>
      <c r="N24" s="20">
        <f>_xlfn.IFERROR(H24/F24*1000,0)</f>
        <v>2.6539903588644886</v>
      </c>
      <c r="O24" s="19">
        <f>_xlfn.IFERROR(J24/G24,0)</f>
        <v>0.042787286063569685</v>
      </c>
      <c r="P24" s="20">
        <f>_xlfn.IFERROR(H24/I24,0)</f>
        <v>0.46093023255813953</v>
      </c>
      <c r="Q24" s="21">
        <f>_xlfn.IFERROR((K24-H24)/H24,0)</f>
        <v>69.95089135553313</v>
      </c>
      <c r="R24" s="22">
        <f>_xlfn.IFERROR(K24/H24,0)</f>
        <v>70.95089135553313</v>
      </c>
    </row>
    <row r="25" spans="8:8" ht="15.0">
      <c r="A25" s="6">
        <v>6.0</v>
      </c>
      <c r="B25" s="16">
        <v>46237.0</v>
      </c>
      <c r="C25" s="6">
        <v>2.0</v>
      </c>
      <c r="D25" s="6" t="s">
        <v>56</v>
      </c>
      <c r="E25" s="17" t="s">
        <v>57</v>
      </c>
      <c r="F25" s="6">
        <v>46201.0</v>
      </c>
      <c r="G25" s="6">
        <v>2783.0</v>
      </c>
      <c r="H25" s="18">
        <v>4050.31</v>
      </c>
      <c r="I25" s="6">
        <v>290.0</v>
      </c>
      <c r="J25" s="6">
        <v>78.0</v>
      </c>
      <c r="K25" s="18">
        <v>13546.01</v>
      </c>
      <c r="L25" s="19">
        <f>G25/F25</f>
        <v>0.06023679141144131</v>
      </c>
      <c r="M25" s="20">
        <f>_xlfn.IFERROR(H25/G25,0)</f>
        <v>1.4553754940711463</v>
      </c>
      <c r="N25" s="20">
        <f>_xlfn.IFERROR(H25/F25*1000,0)</f>
        <v>87.66715006168697</v>
      </c>
      <c r="O25" s="19">
        <f>_xlfn.IFERROR(J25/G25,0)</f>
        <v>0.028027308659719728</v>
      </c>
      <c r="P25" s="20">
        <f>_xlfn.IFERROR(H25/I25,0)</f>
        <v>13.966586206896551</v>
      </c>
      <c r="Q25" s="21">
        <f>_xlfn.IFERROR((K25-H25)/H25,0)</f>
        <v>2.344437833153512</v>
      </c>
      <c r="R25" s="22">
        <f>_xlfn.IFERROR(K25/H25,0)</f>
        <v>3.3444378331535116</v>
      </c>
    </row>
    <row r="26" spans="8:8" ht="15.0">
      <c r="A26" s="6">
        <v>6.0</v>
      </c>
      <c r="B26" s="16">
        <v>46237.0</v>
      </c>
      <c r="C26" s="6">
        <v>2.0</v>
      </c>
      <c r="D26" s="6" t="s">
        <v>58</v>
      </c>
      <c r="E26" s="17" t="s">
        <v>59</v>
      </c>
      <c r="F26" s="6">
        <v>113270.0</v>
      </c>
      <c r="G26" s="6">
        <v>1338.0</v>
      </c>
      <c r="H26" s="18">
        <v>817.7</v>
      </c>
      <c r="I26" s="6">
        <v>75.0</v>
      </c>
      <c r="J26" s="6">
        <v>10.0</v>
      </c>
      <c r="K26" s="18">
        <v>1133.59</v>
      </c>
      <c r="L26" s="19">
        <f>G26/F26</f>
        <v>0.011812483446631942</v>
      </c>
      <c r="M26" s="20">
        <f>_xlfn.IFERROR(H26/G26,0)</f>
        <v>0.611136023916293</v>
      </c>
      <c r="N26" s="20">
        <f>_xlfn.IFERROR(H26/F26*1000,0)</f>
        <v>7.2190341661516735</v>
      </c>
      <c r="O26" s="19">
        <f>_xlfn.IFERROR(J26/G26,0)</f>
        <v>0.007473841554559043</v>
      </c>
      <c r="P26" s="20">
        <f>_xlfn.IFERROR(H26/I26,0)</f>
        <v>10.902666666666667</v>
      </c>
      <c r="Q26" s="21">
        <f>_xlfn.IFERROR((K26-H26)/H26,0)</f>
        <v>0.38631527455056847</v>
      </c>
      <c r="R26" s="22">
        <f>_xlfn.IFERROR(K26/H26,0)</f>
        <v>1.3863152745505685</v>
      </c>
    </row>
    <row r="27" spans="8:8" ht="15.0">
      <c r="A27" s="6">
        <v>6.0</v>
      </c>
      <c r="B27" s="16">
        <v>46237.0</v>
      </c>
      <c r="C27" s="6">
        <v>2.0</v>
      </c>
      <c r="D27" s="6" t="s">
        <v>60</v>
      </c>
      <c r="E27" s="17" t="s">
        <v>61</v>
      </c>
      <c r="F27" s="6">
        <v>19344.0</v>
      </c>
      <c r="G27" s="6">
        <v>205.0</v>
      </c>
      <c r="H27" s="18">
        <v>1168.07</v>
      </c>
      <c r="I27" s="6">
        <v>39.0</v>
      </c>
      <c r="J27" s="6">
        <v>7.0</v>
      </c>
      <c r="K27" s="18">
        <v>4962.26</v>
      </c>
      <c r="L27" s="19">
        <f>G27/F27</f>
        <v>0.010597601323407774</v>
      </c>
      <c r="M27" s="20">
        <f>_xlfn.IFERROR(H27/G27,0)</f>
        <v>5.69790243902439</v>
      </c>
      <c r="N27" s="20">
        <f>_xlfn.IFERROR(H27/F27*1000,0)</f>
        <v>60.384098428453264</v>
      </c>
      <c r="O27" s="19">
        <f>_xlfn.IFERROR(J27/G27,0)</f>
        <v>0.03414634146341464</v>
      </c>
      <c r="P27" s="20">
        <f>_xlfn.IFERROR(H27/I27,0)</f>
        <v>29.95051282051282</v>
      </c>
      <c r="Q27" s="21">
        <f>_xlfn.IFERROR((K27-H27)/H27,0)</f>
        <v>3.2482556696088425</v>
      </c>
      <c r="R27" s="22">
        <f>_xlfn.IFERROR(K27/H27,0)</f>
        <v>4.2482556696088425</v>
      </c>
    </row>
    <row r="28" spans="8:8" ht="15.0">
      <c r="A28" s="6">
        <v>6.0</v>
      </c>
      <c r="B28" s="16">
        <v>46237.0</v>
      </c>
      <c r="C28" s="6">
        <v>2.0</v>
      </c>
      <c r="D28" s="6" t="s">
        <v>62</v>
      </c>
      <c r="E28" s="17" t="s">
        <v>63</v>
      </c>
      <c r="F28" s="6">
        <v>22519.0</v>
      </c>
      <c r="G28" s="6">
        <v>756.0</v>
      </c>
      <c r="H28" s="18">
        <v>46.9</v>
      </c>
      <c r="I28" s="6">
        <v>108.0</v>
      </c>
      <c r="J28" s="6">
        <v>22.0</v>
      </c>
      <c r="K28" s="18">
        <v>3064.08</v>
      </c>
      <c r="L28" s="19">
        <f>G28/F28</f>
        <v>0.0335716506061548</v>
      </c>
      <c r="M28" s="20">
        <f>_xlfn.IFERROR(H28/G28,0)</f>
        <v>0.062037037037037036</v>
      </c>
      <c r="N28" s="20">
        <f>_xlfn.IFERROR(H28/F28*1000,0)</f>
        <v>2.0826857320484926</v>
      </c>
      <c r="O28" s="19">
        <f>_xlfn.IFERROR(J28/G28,0)</f>
        <v>0.0291005291005291</v>
      </c>
      <c r="P28" s="20">
        <f>_xlfn.IFERROR(H28/I28,0)</f>
        <v>0.43425925925925923</v>
      </c>
      <c r="Q28" s="21">
        <f>_xlfn.IFERROR((K28-H28)/H28,0)</f>
        <v>64.33219616204691</v>
      </c>
      <c r="R28" s="22">
        <f>_xlfn.IFERROR(K28/H28,0)</f>
        <v>65.33219616204691</v>
      </c>
    </row>
    <row r="29" spans="8:8" ht="15.0">
      <c r="A29" s="6">
        <v>7.0</v>
      </c>
      <c r="B29" s="16">
        <v>46244.0</v>
      </c>
      <c r="C29" s="6">
        <v>2.0</v>
      </c>
      <c r="D29" s="6" t="s">
        <v>56</v>
      </c>
      <c r="E29" s="17" t="s">
        <v>57</v>
      </c>
      <c r="F29" s="6">
        <v>51369.0</v>
      </c>
      <c r="G29" s="6">
        <v>2383.0</v>
      </c>
      <c r="H29" s="18">
        <v>3890.06</v>
      </c>
      <c r="I29" s="6">
        <v>311.0</v>
      </c>
      <c r="J29" s="6">
        <v>72.0</v>
      </c>
      <c r="K29" s="18">
        <v>11448.81</v>
      </c>
      <c r="L29" s="19">
        <f>G29/F29</f>
        <v>0.04638984601607974</v>
      </c>
      <c r="M29" s="20">
        <f>_xlfn.IFERROR(H29/G29,0)</f>
        <v>1.6324213176668065</v>
      </c>
      <c r="N29" s="20">
        <f>_xlfn.IFERROR(H29/F29*1000,0)</f>
        <v>75.72777355992915</v>
      </c>
      <c r="O29" s="19">
        <f>_xlfn.IFERROR(J29/G29,0)</f>
        <v>0.030214015946286196</v>
      </c>
      <c r="P29" s="20">
        <f>_xlfn.IFERROR(H29/I29,0)</f>
        <v>12.508231511254019</v>
      </c>
      <c r="Q29" s="21">
        <f>_xlfn.IFERROR((K29-H29)/H29,0)</f>
        <v>1.943093422723557</v>
      </c>
      <c r="R29" s="22">
        <f>_xlfn.IFERROR(K29/H29,0)</f>
        <v>2.943093422723557</v>
      </c>
    </row>
    <row r="30" spans="8:8" ht="15.0">
      <c r="A30" s="6">
        <v>7.0</v>
      </c>
      <c r="B30" s="16">
        <v>46244.0</v>
      </c>
      <c r="C30" s="6">
        <v>2.0</v>
      </c>
      <c r="D30" s="6" t="s">
        <v>58</v>
      </c>
      <c r="E30" s="17" t="s">
        <v>59</v>
      </c>
      <c r="F30" s="6">
        <v>116031.0</v>
      </c>
      <c r="G30" s="6">
        <v>1082.0</v>
      </c>
      <c r="H30" s="18">
        <v>823.48</v>
      </c>
      <c r="I30" s="6">
        <v>57.0</v>
      </c>
      <c r="J30" s="6">
        <v>9.0</v>
      </c>
      <c r="K30" s="18">
        <v>1060.81</v>
      </c>
      <c r="L30" s="19">
        <f>G30/F30</f>
        <v>0.009325094155872137</v>
      </c>
      <c r="M30" s="20">
        <f>_xlfn.IFERROR(H30/G30,0)</f>
        <v>0.7610720887245841</v>
      </c>
      <c r="N30" s="20">
        <f>_xlfn.IFERROR(H30/F30*1000,0)</f>
        <v>7.0970688867630205</v>
      </c>
      <c r="O30" s="19">
        <f>_xlfn.IFERROR(J30/G30,0)</f>
        <v>0.00831792975970425</v>
      </c>
      <c r="P30" s="20">
        <f>_xlfn.IFERROR(H30/I30,0)</f>
        <v>14.44701754385965</v>
      </c>
      <c r="Q30" s="21">
        <f>_xlfn.IFERROR((K30-H30)/H30,0)</f>
        <v>0.28820372079467615</v>
      </c>
      <c r="R30" s="22">
        <f>_xlfn.IFERROR(K30/H30,0)</f>
        <v>1.2882037207946762</v>
      </c>
    </row>
    <row r="31" spans="8:8" ht="15.0">
      <c r="A31" s="6">
        <v>7.0</v>
      </c>
      <c r="B31" s="16">
        <v>46244.0</v>
      </c>
      <c r="C31" s="6">
        <v>2.0</v>
      </c>
      <c r="D31" s="6" t="s">
        <v>60</v>
      </c>
      <c r="E31" s="17" t="s">
        <v>61</v>
      </c>
      <c r="F31" s="6">
        <v>21187.0</v>
      </c>
      <c r="G31" s="6">
        <v>204.0</v>
      </c>
      <c r="H31" s="18">
        <v>1000.07</v>
      </c>
      <c r="I31" s="6">
        <v>36.0</v>
      </c>
      <c r="J31" s="6">
        <v>9.0</v>
      </c>
      <c r="K31" s="18">
        <v>7154.67</v>
      </c>
      <c r="L31" s="19">
        <f>G31/F31</f>
        <v>0.009628545806390712</v>
      </c>
      <c r="M31" s="20">
        <f>_xlfn.IFERROR(H31/G31,0)</f>
        <v>4.9023039215686275</v>
      </c>
      <c r="N31" s="20">
        <f>_xlfn.IFERROR(H31/F31*1000,0)</f>
        <v>47.20205786567235</v>
      </c>
      <c r="O31" s="19">
        <f>_xlfn.IFERROR(J31/G31,0)</f>
        <v>0.04411764705882353</v>
      </c>
      <c r="P31" s="20">
        <f>_xlfn.IFERROR(H31/I31,0)</f>
        <v>27.779722222222222</v>
      </c>
      <c r="Q31" s="21">
        <f>_xlfn.IFERROR((K31-H31)/H31,0)</f>
        <v>6.154169208155429</v>
      </c>
      <c r="R31" s="22">
        <f>_xlfn.IFERROR(K31/H31,0)</f>
        <v>7.1541692081554284</v>
      </c>
    </row>
    <row r="32" spans="8:8" ht="15.0">
      <c r="A32" s="6">
        <v>7.0</v>
      </c>
      <c r="B32" s="16">
        <v>46244.0</v>
      </c>
      <c r="C32" s="6">
        <v>2.0</v>
      </c>
      <c r="D32" s="6" t="s">
        <v>62</v>
      </c>
      <c r="E32" s="17" t="s">
        <v>63</v>
      </c>
      <c r="F32" s="6">
        <v>23588.0</v>
      </c>
      <c r="G32" s="6">
        <v>1026.0</v>
      </c>
      <c r="H32" s="18">
        <v>74.46</v>
      </c>
      <c r="I32" s="6">
        <v>133.0</v>
      </c>
      <c r="J32" s="6">
        <v>27.0</v>
      </c>
      <c r="K32" s="18">
        <v>2992.72</v>
      </c>
      <c r="L32" s="19">
        <f>G32/F32</f>
        <v>0.04349669323384772</v>
      </c>
      <c r="M32" s="20">
        <f>_xlfn.IFERROR(H32/G32,0)</f>
        <v>0.07257309941520468</v>
      </c>
      <c r="N32" s="20">
        <f>_xlfn.IFERROR(H32/F32*1000,0)</f>
        <v>3.156689842292691</v>
      </c>
      <c r="O32" s="19">
        <f>_xlfn.IFERROR(J32/G32,0)</f>
        <v>0.02631578947368421</v>
      </c>
      <c r="P32" s="20">
        <f>_xlfn.IFERROR(H32/I32,0)</f>
        <v>0.5598496240601504</v>
      </c>
      <c r="Q32" s="21">
        <f>_xlfn.IFERROR((K32-H32)/H32,0)</f>
        <v>39.19231802309965</v>
      </c>
      <c r="R32" s="22">
        <f>_xlfn.IFERROR(K32/H32,0)</f>
        <v>40.19231802309965</v>
      </c>
    </row>
    <row r="33" spans="8:8" ht="15.0">
      <c r="A33" s="6">
        <v>8.0</v>
      </c>
      <c r="B33" s="16">
        <v>46251.0</v>
      </c>
      <c r="C33" s="6">
        <v>2.0</v>
      </c>
      <c r="D33" s="6" t="s">
        <v>56</v>
      </c>
      <c r="E33" s="17" t="s">
        <v>57</v>
      </c>
      <c r="F33" s="6">
        <v>47075.0</v>
      </c>
      <c r="G33" s="6">
        <v>2335.0</v>
      </c>
      <c r="H33" s="18">
        <v>2928.45</v>
      </c>
      <c r="I33" s="6">
        <v>240.0</v>
      </c>
      <c r="J33" s="6">
        <v>65.0</v>
      </c>
      <c r="K33" s="18">
        <v>9695.25</v>
      </c>
      <c r="L33" s="19">
        <f>G33/F33</f>
        <v>0.04960169941582581</v>
      </c>
      <c r="M33" s="20">
        <f>_xlfn.IFERROR(H33/G33,0)</f>
        <v>1.254154175588865</v>
      </c>
      <c r="N33" s="20">
        <f>_xlfn.IFERROR(H33/F33*1000,0)</f>
        <v>62.208178438661704</v>
      </c>
      <c r="O33" s="19">
        <f>_xlfn.IFERROR(J33/G33,0)</f>
        <v>0.027837259100642397</v>
      </c>
      <c r="P33" s="20">
        <f>_xlfn.IFERROR(H33/I33,0)</f>
        <v>12.201875</v>
      </c>
      <c r="Q33" s="21">
        <f>_xlfn.IFERROR((K33-H33)/H33,0)</f>
        <v>2.3107104440915847</v>
      </c>
      <c r="R33" s="22">
        <f>_xlfn.IFERROR(K33/H33,0)</f>
        <v>3.3107104440915847</v>
      </c>
    </row>
    <row r="34" spans="8:8" ht="15.0">
      <c r="A34" s="6">
        <v>8.0</v>
      </c>
      <c r="B34" s="16">
        <v>46251.0</v>
      </c>
      <c r="C34" s="6">
        <v>2.0</v>
      </c>
      <c r="D34" s="6" t="s">
        <v>58</v>
      </c>
      <c r="E34" s="17" t="s">
        <v>59</v>
      </c>
      <c r="F34" s="6">
        <v>82058.0</v>
      </c>
      <c r="G34" s="6">
        <v>1084.0</v>
      </c>
      <c r="H34" s="18">
        <v>626.92</v>
      </c>
      <c r="I34" s="6">
        <v>50.0</v>
      </c>
      <c r="J34" s="6">
        <v>7.0</v>
      </c>
      <c r="K34" s="18">
        <v>674.99</v>
      </c>
      <c r="L34" s="19">
        <f>G34/F34</f>
        <v>0.01321016841746082</v>
      </c>
      <c r="M34" s="20">
        <f>_xlfn.IFERROR(H34/G34,0)</f>
        <v>0.5783394833948339</v>
      </c>
      <c r="N34" s="20">
        <f>_xlfn.IFERROR(H34/F34*1000,0)</f>
        <v>7.639961978113042</v>
      </c>
      <c r="O34" s="19">
        <f>_xlfn.IFERROR(J34/G34,0)</f>
        <v>0.006457564575645757</v>
      </c>
      <c r="P34" s="20">
        <f>_xlfn.IFERROR(H34/I34,0)</f>
        <v>12.5384</v>
      </c>
      <c r="Q34" s="21">
        <f>_xlfn.IFERROR((K34-H34)/H34,0)</f>
        <v>0.0766764499457667</v>
      </c>
      <c r="R34" s="22">
        <f>_xlfn.IFERROR(K34/H34,0)</f>
        <v>1.0766764499457666</v>
      </c>
    </row>
    <row r="35" spans="8:8" ht="15.0">
      <c r="A35" s="6">
        <v>8.0</v>
      </c>
      <c r="B35" s="16">
        <v>46251.0</v>
      </c>
      <c r="C35" s="6">
        <v>2.0</v>
      </c>
      <c r="D35" s="6" t="s">
        <v>60</v>
      </c>
      <c r="E35" s="17" t="s">
        <v>61</v>
      </c>
      <c r="F35" s="6">
        <v>16083.0</v>
      </c>
      <c r="G35" s="6">
        <v>155.0</v>
      </c>
      <c r="H35" s="18">
        <v>971.04</v>
      </c>
      <c r="I35" s="6">
        <v>30.0</v>
      </c>
      <c r="J35" s="6">
        <v>6.0</v>
      </c>
      <c r="K35" s="18">
        <v>4451.35</v>
      </c>
      <c r="L35" s="19">
        <f>G35/F35</f>
        <v>0.009637505440527265</v>
      </c>
      <c r="M35" s="20">
        <f>_xlfn.IFERROR(H35/G35,0)</f>
        <v>6.264774193548387</v>
      </c>
      <c r="N35" s="20">
        <f>_xlfn.IFERROR(H35/F35*1000,0)</f>
        <v>60.37679537399739</v>
      </c>
      <c r="O35" s="19">
        <f>_xlfn.IFERROR(J35/G35,0)</f>
        <v>0.03870967741935484</v>
      </c>
      <c r="P35" s="20">
        <f>_xlfn.IFERROR(H35/I35,0)</f>
        <v>32.368</v>
      </c>
      <c r="Q35" s="21">
        <f>_xlfn.IFERROR((K35-H35)/H35,0)</f>
        <v>3.5841057011039714</v>
      </c>
      <c r="R35" s="22">
        <f>_xlfn.IFERROR(K35/H35,0)</f>
        <v>4.584105701103971</v>
      </c>
    </row>
    <row r="36" spans="8:8" ht="15.0">
      <c r="A36" s="6">
        <v>8.0</v>
      </c>
      <c r="B36" s="16">
        <v>46251.0</v>
      </c>
      <c r="C36" s="6">
        <v>2.0</v>
      </c>
      <c r="D36" s="6" t="s">
        <v>62</v>
      </c>
      <c r="E36" s="17" t="s">
        <v>63</v>
      </c>
      <c r="F36" s="6">
        <v>23334.0</v>
      </c>
      <c r="G36" s="6">
        <v>767.0</v>
      </c>
      <c r="H36" s="18">
        <v>42.07</v>
      </c>
      <c r="I36" s="6">
        <v>105.0</v>
      </c>
      <c r="J36" s="6">
        <v>25.0</v>
      </c>
      <c r="K36" s="18">
        <v>3217.02</v>
      </c>
      <c r="L36" s="19">
        <f>G36/F36</f>
        <v>0.03287048941458815</v>
      </c>
      <c r="M36" s="20">
        <f>_xlfn.IFERROR(H36/G36,0)</f>
        <v>0.05485006518904824</v>
      </c>
      <c r="N36" s="20">
        <f>_xlfn.IFERROR(H36/F36*1000,0)</f>
        <v>1.8029484871860806</v>
      </c>
      <c r="O36" s="19">
        <f>_xlfn.IFERROR(J36/G36,0)</f>
        <v>0.03259452411994785</v>
      </c>
      <c r="P36" s="20">
        <f>_xlfn.IFERROR(H36/I36,0)</f>
        <v>0.40066666666666667</v>
      </c>
      <c r="Q36" s="21">
        <f>_xlfn.IFERROR((K36-H36)/H36,0)</f>
        <v>75.46826717375802</v>
      </c>
      <c r="R36" s="22">
        <f>_xlfn.IFERROR(K36/H36,0)</f>
        <v>76.46826717375802</v>
      </c>
    </row>
  </sheetData>
  <mergeCells count="2">
    <mergeCell ref="A1:O1"/>
    <mergeCell ref="A2:O2"/>
  </mergeCells>
  <pageMargins left="0.75" right="0.75" top="1.0" bottom="1.0" header="0.511811023622047" footer="0.511811023622047"/>
  <pageSetup paperSize="9"/>
</worksheet>
</file>

<file path=xl/worksheets/sheet3.xml><?xml version="1.0" encoding="utf-8"?>
<worksheet xmlns:r="http://schemas.openxmlformats.org/officeDocument/2006/relationships" xmlns="http://schemas.openxmlformats.org/spreadsheetml/2006/main">
  <dimension ref="A1:K12"/>
  <sheetViews>
    <sheetView workbookViewId="0" topLeftCell="F1" showGridLines="0">
      <selection activeCell="A1" sqref="A1:J11"/>
    </sheetView>
  </sheetViews>
  <sheetFormatPr defaultRowHeight="15.0" zeroHeight="1"/>
  <cols>
    <col min="1" max="1" customWidth="1" width="7.0" style="0"/>
    <col min="2" max="2" customWidth="1" width="12.0" style="0"/>
    <col min="3" max="3" customWidth="1" width="13.0" style="0"/>
    <col min="4" max="4" customWidth="1" width="9.0" style="0"/>
    <col min="5" max="5" customWidth="1" width="12.0" style="0"/>
    <col min="6" max="6" customWidth="1" width="8.0" style="0"/>
    <col min="7" max="7" customWidth="1" width="12.0" style="0"/>
    <col min="8" max="8" customWidth="1" width="13.0" style="0"/>
    <col min="9" max="10" customWidth="1" width="12.0" style="0"/>
  </cols>
  <sheetData>
    <row r="1" spans="8:8" ht="21.75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</row>
    <row r="2" spans="8:8" ht="15.75" customHeight="1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</row>
    <row r="4" spans="8:8" ht="27.75" customHeight="1">
      <c r="A4" s="15" t="s">
        <v>44</v>
      </c>
      <c r="B4" s="15" t="s">
        <v>45</v>
      </c>
      <c r="C4" s="15" t="s">
        <v>49</v>
      </c>
      <c r="D4" s="15" t="s">
        <v>50</v>
      </c>
      <c r="E4" s="15" t="s">
        <v>51</v>
      </c>
      <c r="F4" s="15" t="s">
        <v>52</v>
      </c>
      <c r="G4" s="15" t="s">
        <v>53</v>
      </c>
      <c r="H4" s="15" t="s">
        <v>54</v>
      </c>
      <c r="I4" s="15" t="s">
        <v>65</v>
      </c>
      <c r="J4" s="15" t="s">
        <v>66</v>
      </c>
    </row>
    <row r="5" spans="8:8" ht="15.0">
      <c r="A5" s="9">
        <v>1.0</v>
      </c>
      <c r="B5" s="23">
        <f>_xlfn.IFERROR(INDEX('Campaign Data'!$B$5:$B$36,MATCH(A5,'Campaign Data'!$A$5:$A$36,0)),"")</f>
        <v>46202.0</v>
      </c>
      <c r="C5" s="9">
        <f>SUMIF('Campaign Data'!$A$5:$A$36,A5,'Campaign Data'!$F$5:$F$36)</f>
        <v>201712.0</v>
      </c>
      <c r="D5" s="9">
        <f>SUMIF('Campaign Data'!$A$5:$A$36,A5,'Campaign Data'!$G$5:$G$36)</f>
        <v>4831.0</v>
      </c>
      <c r="E5" s="24">
        <f>SUMIF('Campaign Data'!$A$5:$A$36,A5,'Campaign Data'!$H$5:$H$36)</f>
        <v>5604.110000000001</v>
      </c>
      <c r="F5" s="9">
        <f>SUMIF('Campaign Data'!$A$5:$A$36,A5,'Campaign Data'!$I$5:$I$36)</f>
        <v>525.0</v>
      </c>
      <c r="G5" s="9">
        <f>SUMIF('Campaign Data'!$A$5:$A$36,A5,'Campaign Data'!$J$5:$J$36)</f>
        <v>113.0</v>
      </c>
      <c r="H5" s="24">
        <f>SUMIF('Campaign Data'!$A$5:$A$36,A5,'Campaign Data'!$K$5:$K$36)</f>
        <v>18601.870000000003</v>
      </c>
      <c r="I5" s="19">
        <f>_xlfn.IFERROR(D5/C5,0)</f>
        <v>0.02394998810184818</v>
      </c>
      <c r="J5" s="22">
        <f>_xlfn.IFERROR(H5/E5,0)</f>
        <v>3.3193263515526996</v>
      </c>
    </row>
    <row r="6" spans="8:8" ht="15.0">
      <c r="A6" s="9">
        <v>2.0</v>
      </c>
      <c r="B6" s="23">
        <f>_xlfn.IFERROR(INDEX('Campaign Data'!$B$5:$B$36,MATCH(A6,'Campaign Data'!$A$5:$A$36,0)),"")</f>
        <v>46209.0</v>
      </c>
      <c r="C6" s="9">
        <f>SUMIF('Campaign Data'!$A$5:$A$36,A6,'Campaign Data'!$F$5:$F$36)</f>
        <v>182763.0</v>
      </c>
      <c r="D6" s="9">
        <f>SUMIF('Campaign Data'!$A$5:$A$36,A6,'Campaign Data'!$G$5:$G$36)</f>
        <v>4716.0</v>
      </c>
      <c r="E6" s="24">
        <f>SUMIF('Campaign Data'!$A$5:$A$36,A6,'Campaign Data'!$H$5:$H$36)</f>
        <v>5409.57</v>
      </c>
      <c r="F6" s="9">
        <f>SUMIF('Campaign Data'!$A$5:$A$36,A6,'Campaign Data'!$I$5:$I$36)</f>
        <v>503.0</v>
      </c>
      <c r="G6" s="9">
        <f>SUMIF('Campaign Data'!$A$5:$A$36,A6,'Campaign Data'!$J$5:$J$36)</f>
        <v>103.0</v>
      </c>
      <c r="H6" s="24">
        <f>SUMIF('Campaign Data'!$A$5:$A$36,A6,'Campaign Data'!$K$5:$K$36)</f>
        <v>16901.98</v>
      </c>
      <c r="I6" s="19">
        <f>_xlfn.IFERROR(D6/C6,0)</f>
        <v>0.02580390998177968</v>
      </c>
      <c r="J6" s="22">
        <f>_xlfn.IFERROR(H6/E6,0)</f>
        <v>3.1244590605168248</v>
      </c>
    </row>
    <row r="7" spans="8:8" ht="15.0">
      <c r="A7" s="9">
        <v>3.0</v>
      </c>
      <c r="B7" s="23">
        <f>_xlfn.IFERROR(INDEX('Campaign Data'!$B$5:$B$36,MATCH(A7,'Campaign Data'!$A$5:$A$36,0)),"")</f>
        <v>46216.0</v>
      </c>
      <c r="C7" s="9">
        <f>SUMIF('Campaign Data'!$A$5:$A$36,A7,'Campaign Data'!$F$5:$F$36)</f>
        <v>187135.0</v>
      </c>
      <c r="D7" s="9">
        <f>SUMIF('Campaign Data'!$A$5:$A$36,A7,'Campaign Data'!$G$5:$G$36)</f>
        <v>5144.0</v>
      </c>
      <c r="E7" s="24">
        <f>SUMIF('Campaign Data'!$A$5:$A$36,A7,'Campaign Data'!$H$5:$H$36)</f>
        <v>5279.41</v>
      </c>
      <c r="F7" s="9">
        <f>SUMIF('Campaign Data'!$A$5:$A$36,A7,'Campaign Data'!$I$5:$I$36)</f>
        <v>625.0</v>
      </c>
      <c r="G7" s="9">
        <f>SUMIF('Campaign Data'!$A$5:$A$36,A7,'Campaign Data'!$J$5:$J$36)</f>
        <v>152.0</v>
      </c>
      <c r="H7" s="24">
        <f>SUMIF('Campaign Data'!$A$5:$A$36,A7,'Campaign Data'!$K$5:$K$36)</f>
        <v>24104.31</v>
      </c>
      <c r="I7" s="19">
        <f>_xlfn.IFERROR(D7/C7,0)</f>
        <v>0.027488176984529884</v>
      </c>
      <c r="J7" s="22">
        <f>_xlfn.IFERROR(H7/E7,0)</f>
        <v>4.565720411939971</v>
      </c>
    </row>
    <row r="8" spans="8:8" ht="15.0">
      <c r="A8" s="9">
        <v>4.0</v>
      </c>
      <c r="B8" s="23">
        <f>_xlfn.IFERROR(INDEX('Campaign Data'!$B$5:$B$36,MATCH(A8,'Campaign Data'!$A$5:$A$36,0)),"")</f>
        <v>46223.0</v>
      </c>
      <c r="C8" s="9">
        <f>SUMIF('Campaign Data'!$A$5:$A$36,A8,'Campaign Data'!$F$5:$F$36)</f>
        <v>178561.0</v>
      </c>
      <c r="D8" s="9">
        <f>SUMIF('Campaign Data'!$A$5:$A$36,A8,'Campaign Data'!$G$5:$G$36)</f>
        <v>4674.0</v>
      </c>
      <c r="E8" s="24">
        <f>SUMIF('Campaign Data'!$A$5:$A$36,A8,'Campaign Data'!$H$5:$H$36)</f>
        <v>5024.42</v>
      </c>
      <c r="F8" s="9">
        <f>SUMIF('Campaign Data'!$A$5:$A$36,A8,'Campaign Data'!$I$5:$I$36)</f>
        <v>499.0</v>
      </c>
      <c r="G8" s="9">
        <f>SUMIF('Campaign Data'!$A$5:$A$36,A8,'Campaign Data'!$J$5:$J$36)</f>
        <v>119.0</v>
      </c>
      <c r="H8" s="24">
        <f>SUMIF('Campaign Data'!$A$5:$A$36,A8,'Campaign Data'!$K$5:$K$36)</f>
        <v>21100.449999999997</v>
      </c>
      <c r="I8" s="19">
        <f>_xlfn.IFERROR(D8/C8,0)</f>
        <v>0.026175928674234576</v>
      </c>
      <c r="J8" s="22">
        <f>_xlfn.IFERROR(H8/E8,0)</f>
        <v>4.199579254918975</v>
      </c>
    </row>
    <row r="9" spans="8:8" ht="15.0">
      <c r="A9" s="9">
        <v>5.0</v>
      </c>
      <c r="B9" s="23">
        <f>_xlfn.IFERROR(INDEX('Campaign Data'!$B$5:$B$36,MATCH(A9,'Campaign Data'!$A$5:$A$36,0)),"")</f>
        <v>46230.0</v>
      </c>
      <c r="C9" s="9">
        <f>SUMIF('Campaign Data'!$A$5:$A$36,A9,'Campaign Data'!$F$5:$F$36)</f>
        <v>202156.0</v>
      </c>
      <c r="D9" s="9">
        <f>SUMIF('Campaign Data'!$A$5:$A$36,A9,'Campaign Data'!$G$5:$G$36)</f>
        <v>5244.0</v>
      </c>
      <c r="E9" s="24">
        <f>SUMIF('Campaign Data'!$A$5:$A$36,A9,'Campaign Data'!$H$5:$H$36)</f>
        <v>5046.14</v>
      </c>
      <c r="F9" s="9">
        <f>SUMIF('Campaign Data'!$A$5:$A$36,A9,'Campaign Data'!$I$5:$I$36)</f>
        <v>636.0</v>
      </c>
      <c r="G9" s="9">
        <f>SUMIF('Campaign Data'!$A$5:$A$36,A9,'Campaign Data'!$J$5:$J$36)</f>
        <v>142.0</v>
      </c>
      <c r="H9" s="24">
        <f>SUMIF('Campaign Data'!$A$5:$A$36,A9,'Campaign Data'!$K$5:$K$36)</f>
        <v>21783.86</v>
      </c>
      <c r="I9" s="19">
        <f>_xlfn.IFERROR(D9/C9,0)</f>
        <v>0.025940362888066643</v>
      </c>
      <c r="J9" s="22">
        <f>_xlfn.IFERROR(H9/E9,0)</f>
        <v>4.316935320859112</v>
      </c>
    </row>
    <row r="10" spans="8:8" ht="15.0">
      <c r="A10" s="9">
        <v>6.0</v>
      </c>
      <c r="B10" s="23">
        <f>_xlfn.IFERROR(INDEX('Campaign Data'!$B$5:$B$36,MATCH(A10,'Campaign Data'!$A$5:$A$36,0)),"")</f>
        <v>46237.0</v>
      </c>
      <c r="C10" s="9">
        <f>SUMIF('Campaign Data'!$A$5:$A$36,A10,'Campaign Data'!$F$5:$F$36)</f>
        <v>201334.0</v>
      </c>
      <c r="D10" s="9">
        <f>SUMIF('Campaign Data'!$A$5:$A$36,A10,'Campaign Data'!$G$5:$G$36)</f>
        <v>5082.0</v>
      </c>
      <c r="E10" s="24">
        <f>SUMIF('Campaign Data'!$A$5:$A$36,A10,'Campaign Data'!$H$5:$H$36)</f>
        <v>6082.98</v>
      </c>
      <c r="F10" s="9">
        <f>SUMIF('Campaign Data'!$A$5:$A$36,A10,'Campaign Data'!$I$5:$I$36)</f>
        <v>512.0</v>
      </c>
      <c r="G10" s="9">
        <f>SUMIF('Campaign Data'!$A$5:$A$36,A10,'Campaign Data'!$J$5:$J$36)</f>
        <v>117.0</v>
      </c>
      <c r="H10" s="24">
        <f>SUMIF('Campaign Data'!$A$5:$A$36,A10,'Campaign Data'!$K$5:$K$36)</f>
        <v>22705.940000000002</v>
      </c>
      <c r="I10" s="19">
        <f>_xlfn.IFERROR(D10/C10,0)</f>
        <v>0.02524163827272095</v>
      </c>
      <c r="J10" s="22">
        <f>_xlfn.IFERROR(H10/E10,0)</f>
        <v>3.7327000910737835</v>
      </c>
    </row>
    <row r="11" spans="8:8" ht="15.0">
      <c r="A11" s="9">
        <v>7.0</v>
      </c>
      <c r="B11" s="23">
        <f>_xlfn.IFERROR(INDEX('Campaign Data'!$B$5:$B$36,MATCH(A11,'Campaign Data'!$A$5:$A$36,0)),"")</f>
        <v>46244.0</v>
      </c>
      <c r="C11" s="9">
        <f>SUMIF('Campaign Data'!$A$5:$A$36,A11,'Campaign Data'!$F$5:$F$36)</f>
        <v>212175.0</v>
      </c>
      <c r="D11" s="9">
        <f>SUMIF('Campaign Data'!$A$5:$A$36,A11,'Campaign Data'!$G$5:$G$36)</f>
        <v>4695.0</v>
      </c>
      <c r="E11" s="24">
        <f>SUMIF('Campaign Data'!$A$5:$A$36,A11,'Campaign Data'!$H$5:$H$36)</f>
        <v>5788.07</v>
      </c>
      <c r="F11" s="9">
        <f>SUMIF('Campaign Data'!$A$5:$A$36,A11,'Campaign Data'!$I$5:$I$36)</f>
        <v>537.0</v>
      </c>
      <c r="G11" s="9">
        <f>SUMIF('Campaign Data'!$A$5:$A$36,A11,'Campaign Data'!$J$5:$J$36)</f>
        <v>117.0</v>
      </c>
      <c r="H11" s="24">
        <f>SUMIF('Campaign Data'!$A$5:$A$36,A11,'Campaign Data'!$K$5:$K$36)</f>
        <v>22657.010000000002</v>
      </c>
      <c r="I11" s="19">
        <f>_xlfn.IFERROR(D11/C11,0)</f>
        <v>0.022127960410038883</v>
      </c>
      <c r="J11" s="22">
        <f>_xlfn.IFERROR(H11/E11,0)</f>
        <v>3.914432617435519</v>
      </c>
    </row>
    <row r="12" spans="8:8" ht="15.0">
      <c r="A12" s="9">
        <v>8.0</v>
      </c>
      <c r="B12" s="23">
        <f>_xlfn.IFERROR(INDEX('Campaign Data'!$B$5:$B$36,MATCH(A12,'Campaign Data'!$A$5:$A$36,0)),"")</f>
        <v>46251.0</v>
      </c>
      <c r="C12" s="9">
        <f>SUMIF('Campaign Data'!$A$5:$A$36,A12,'Campaign Data'!$F$5:$F$36)</f>
        <v>168550.0</v>
      </c>
      <c r="D12" s="9">
        <f>SUMIF('Campaign Data'!$A$5:$A$36,A12,'Campaign Data'!$G$5:$G$36)</f>
        <v>4341.0</v>
      </c>
      <c r="E12" s="24">
        <f>SUMIF('Campaign Data'!$A$5:$A$36,A12,'Campaign Data'!$H$5:$H$36)</f>
        <v>4568.48</v>
      </c>
      <c r="F12" s="9">
        <f>SUMIF('Campaign Data'!$A$5:$A$36,A12,'Campaign Data'!$I$5:$I$36)</f>
        <v>425.0</v>
      </c>
      <c r="G12" s="9">
        <f>SUMIF('Campaign Data'!$A$5:$A$36,A12,'Campaign Data'!$J$5:$J$36)</f>
        <v>103.0</v>
      </c>
      <c r="H12" s="24">
        <f>SUMIF('Campaign Data'!$A$5:$A$36,A12,'Campaign Data'!$K$5:$K$36)</f>
        <v>18038.61</v>
      </c>
      <c r="I12" s="19">
        <f>_xlfn.IFERROR(D12/C12,0)</f>
        <v>0.025754968851972707</v>
      </c>
      <c r="J12" s="22">
        <f>_xlfn.IFERROR(H12/E12,0)</f>
        <v>3.94849271530137</v>
      </c>
    </row>
  </sheetData>
  <mergeCells count="2">
    <mergeCell ref="A1:J1"/>
    <mergeCell ref="A2:J2"/>
  </mergeCells>
  <pageMargins left="0.75" right="0.75" top="1.0" bottom="1.0" header="0.511811023622047" footer="0.511811023622047"/>
  <pageSetup paperSize="9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M12"/>
  <sheetViews>
    <sheetView workbookViewId="0" showGridLines="0">
      <selection activeCell="A1" sqref="A1:L1"/>
    </sheetView>
  </sheetViews>
  <sheetFormatPr defaultRowHeight="15.0" zeroHeight="1"/>
  <cols>
    <col min="1" max="1" customWidth="1" width="8.0" style="0"/>
    <col min="2" max="2" customWidth="1" width="16.0" style="0"/>
    <col min="3" max="3" customWidth="1" width="13.0" style="0"/>
    <col min="4" max="4" customWidth="1" width="9.0" style="0"/>
    <col min="5" max="5" customWidth="1" width="12.0" style="0"/>
    <col min="6" max="6" customWidth="1" width="8.0" style="0"/>
    <col min="7" max="7" customWidth="1" width="12.0" style="0"/>
    <col min="8" max="8" customWidth="1" width="13.0" style="0"/>
    <col min="9" max="9" customWidth="1" width="9.0" style="0"/>
    <col min="10" max="10" customWidth="1" width="10.0" style="0"/>
    <col min="11" max="12" customWidth="1" width="9.0" style="0"/>
  </cols>
  <sheetData>
    <row r="1" spans="8:8" ht="21.75" customHeight="1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8:8" ht="15.75" customHeight="1">
      <c r="A2" s="2" t="s">
        <v>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8:8" ht="27.75" customHeight="1">
      <c r="A4" s="15" t="s">
        <v>46</v>
      </c>
      <c r="B4" s="15" t="s">
        <v>47</v>
      </c>
      <c r="C4" s="15" t="s">
        <v>49</v>
      </c>
      <c r="D4" s="15" t="s">
        <v>50</v>
      </c>
      <c r="E4" s="15" t="s">
        <v>51</v>
      </c>
      <c r="F4" s="15" t="s">
        <v>52</v>
      </c>
      <c r="G4" s="15" t="s">
        <v>53</v>
      </c>
      <c r="H4" s="15" t="s">
        <v>54</v>
      </c>
      <c r="I4" s="15" t="s">
        <v>17</v>
      </c>
      <c r="J4" s="15" t="s">
        <v>25</v>
      </c>
      <c r="K4" s="15" t="s">
        <v>27</v>
      </c>
      <c r="L4" s="15" t="s">
        <v>29</v>
      </c>
    </row>
    <row r="5" spans="8:8" ht="15.0">
      <c r="A5" s="6">
        <v>1.0</v>
      </c>
      <c r="B5" s="25" t="s">
        <v>56</v>
      </c>
      <c r="C5" s="9">
        <f>_xlfn.SUMIFS('Campaign Data'!$F$5:$F$36,'Campaign Data'!$C$5:$C$36,A5,'Campaign Data'!$D$5:$D$36,B5)</f>
        <v>169362.0</v>
      </c>
      <c r="D5" s="9">
        <f>_xlfn.SUMIFS('Campaign Data'!$G$5:$G$36,'Campaign Data'!$C$5:$C$36,A5,'Campaign Data'!$D$5:$D$36,B5)</f>
        <v>9248.0</v>
      </c>
      <c r="E5" s="24">
        <f>_xlfn.SUMIFS('Campaign Data'!$H$5:$H$36,'Campaign Data'!$C$5:$C$36,A5,'Campaign Data'!$D$5:$D$36,B5)</f>
        <v>13783.820000000002</v>
      </c>
      <c r="F5" s="9">
        <f>_xlfn.SUMIFS('Campaign Data'!$I$5:$I$36,'Campaign Data'!$C$5:$C$36,A5,'Campaign Data'!$D$5:$D$36,B5)</f>
        <v>1009.0</v>
      </c>
      <c r="G5" s="9">
        <f>_xlfn.SUMIFS('Campaign Data'!$J$5:$J$36,'Campaign Data'!$C$5:$C$36,A5,'Campaign Data'!$D$5:$D$36,B5)</f>
        <v>269.0</v>
      </c>
      <c r="H5" s="24">
        <f>_xlfn.SUMIFS('Campaign Data'!$K$5:$K$36,'Campaign Data'!$C$5:$C$36,A5,'Campaign Data'!$D$5:$D$36,B5)</f>
        <v>40827.8</v>
      </c>
      <c r="I5" s="19">
        <f>_xlfn.IFERROR(D5/C5,0)</f>
        <v>0.05460492908680814</v>
      </c>
      <c r="J5" s="20">
        <f>_xlfn.IFERROR(E5/F5,0)</f>
        <v>13.660872150644204</v>
      </c>
      <c r="K5" s="21">
        <f>_xlfn.IFERROR((H5-E5)/E5,0)</f>
        <v>1.9620090802114363</v>
      </c>
      <c r="L5" s="22">
        <f>_xlfn.IFERROR(H5/E5,0)</f>
        <v>2.9620090802114363</v>
      </c>
    </row>
    <row r="6" spans="8:8" ht="15.0">
      <c r="A6" s="6">
        <v>1.0</v>
      </c>
      <c r="B6" s="25" t="s">
        <v>58</v>
      </c>
      <c r="C6" s="9">
        <f>_xlfn.SUMIFS('Campaign Data'!$F$5:$F$36,'Campaign Data'!$C$5:$C$36,A6,'Campaign Data'!$D$5:$D$36,B6)</f>
        <v>422187.0</v>
      </c>
      <c r="D6" s="9">
        <f>_xlfn.SUMIFS('Campaign Data'!$G$5:$G$36,'Campaign Data'!$C$5:$C$36,A6,'Campaign Data'!$D$5:$D$36,B6)</f>
        <v>5987.0</v>
      </c>
      <c r="E6" s="24">
        <f>_xlfn.SUMIFS('Campaign Data'!$H$5:$H$36,'Campaign Data'!$C$5:$C$36,A6,'Campaign Data'!$D$5:$D$36,B6)</f>
        <v>4524.29</v>
      </c>
      <c r="F6" s="9">
        <f>_xlfn.SUMIFS('Campaign Data'!$I$5:$I$36,'Campaign Data'!$C$5:$C$36,A6,'Campaign Data'!$D$5:$D$36,B6)</f>
        <v>535.0</v>
      </c>
      <c r="G6" s="9">
        <f>_xlfn.SUMIFS('Campaign Data'!$J$5:$J$36,'Campaign Data'!$C$5:$C$36,A6,'Campaign Data'!$D$5:$D$36,B6)</f>
        <v>70.0</v>
      </c>
      <c r="H6" s="24">
        <f>_xlfn.SUMIFS('Campaign Data'!$K$5:$K$36,'Campaign Data'!$C$5:$C$36,A6,'Campaign Data'!$D$5:$D$36,B6)</f>
        <v>7519.34</v>
      </c>
      <c r="I6" s="19">
        <f>_xlfn.IFERROR(D6/C6,0)</f>
        <v>0.014180919829364712</v>
      </c>
      <c r="J6" s="20">
        <f>_xlfn.IFERROR(E6/F6,0)</f>
        <v>8.456616822429906</v>
      </c>
      <c r="K6" s="21">
        <f>_xlfn.IFERROR((H6-E6)/E6,0)</f>
        <v>0.6619933735459045</v>
      </c>
      <c r="L6" s="22">
        <f>_xlfn.IFERROR(H6/E6,0)</f>
        <v>1.6619933735459045</v>
      </c>
    </row>
    <row r="7" spans="8:8" ht="15.0">
      <c r="A7" s="6">
        <v>1.0</v>
      </c>
      <c r="B7" s="25" t="s">
        <v>60</v>
      </c>
      <c r="C7" s="9">
        <f>_xlfn.SUMIFS('Campaign Data'!$F$5:$F$36,'Campaign Data'!$C$5:$C$36,A7,'Campaign Data'!$D$5:$D$36,B7)</f>
        <v>65861.0</v>
      </c>
      <c r="D7" s="9">
        <f>_xlfn.SUMIFS('Campaign Data'!$G$5:$G$36,'Campaign Data'!$C$5:$C$36,A7,'Campaign Data'!$D$5:$D$36,B7)</f>
        <v>509.0</v>
      </c>
      <c r="E7" s="24">
        <f>_xlfn.SUMIFS('Campaign Data'!$H$5:$H$36,'Campaign Data'!$C$5:$C$36,A7,'Campaign Data'!$D$5:$D$36,B7)</f>
        <v>2751.2999999999997</v>
      </c>
      <c r="F7" s="9">
        <f>_xlfn.SUMIFS('Campaign Data'!$I$5:$I$36,'Campaign Data'!$C$5:$C$36,A7,'Campaign Data'!$D$5:$D$36,B7)</f>
        <v>98.0</v>
      </c>
      <c r="G7" s="9">
        <f>_xlfn.SUMIFS('Campaign Data'!$J$5:$J$36,'Campaign Data'!$C$5:$C$36,A7,'Campaign Data'!$D$5:$D$36,B7)</f>
        <v>21.0</v>
      </c>
      <c r="H7" s="24">
        <f>_xlfn.SUMIFS('Campaign Data'!$K$5:$K$36,'Campaign Data'!$C$5:$C$36,A7,'Campaign Data'!$D$5:$D$36,B7)</f>
        <v>16685.85</v>
      </c>
      <c r="I7" s="19">
        <f>_xlfn.IFERROR(D7/C7,0)</f>
        <v>0.007728397686035742</v>
      </c>
      <c r="J7" s="20">
        <f>_xlfn.IFERROR(E7/F7,0)</f>
        <v>28.074489795918364</v>
      </c>
      <c r="K7" s="21">
        <f>_xlfn.IFERROR((H7-E7)/E7,0)</f>
        <v>5.064714862065205</v>
      </c>
      <c r="L7" s="22">
        <f>_xlfn.IFERROR(H7/E7,0)</f>
        <v>6.064714862065205</v>
      </c>
    </row>
    <row r="8" spans="8:8" ht="15.0">
      <c r="A8" s="6">
        <v>1.0</v>
      </c>
      <c r="B8" s="25" t="s">
        <v>62</v>
      </c>
      <c r="C8" s="9">
        <f>_xlfn.SUMIFS('Campaign Data'!$F$5:$F$36,'Campaign Data'!$C$5:$C$36,A8,'Campaign Data'!$D$5:$D$36,B8)</f>
        <v>92761.0</v>
      </c>
      <c r="D8" s="9">
        <f>_xlfn.SUMIFS('Campaign Data'!$G$5:$G$36,'Campaign Data'!$C$5:$C$36,A8,'Campaign Data'!$D$5:$D$36,B8)</f>
        <v>3621.0</v>
      </c>
      <c r="E8" s="24">
        <f>_xlfn.SUMIFS('Campaign Data'!$H$5:$H$36,'Campaign Data'!$C$5:$C$36,A8,'Campaign Data'!$D$5:$D$36,B8)</f>
        <v>258.1</v>
      </c>
      <c r="F8" s="9">
        <f>_xlfn.SUMIFS('Campaign Data'!$I$5:$I$36,'Campaign Data'!$C$5:$C$36,A8,'Campaign Data'!$D$5:$D$36,B8)</f>
        <v>510.0</v>
      </c>
      <c r="G8" s="9">
        <f>_xlfn.SUMIFS('Campaign Data'!$J$5:$J$36,'Campaign Data'!$C$5:$C$36,A8,'Campaign Data'!$D$5:$D$36,B8)</f>
        <v>127.0</v>
      </c>
      <c r="H8" s="24">
        <f>_xlfn.SUMIFS('Campaign Data'!$K$5:$K$36,'Campaign Data'!$C$5:$C$36,A8,'Campaign Data'!$D$5:$D$36,B8)</f>
        <v>15675.62</v>
      </c>
      <c r="I8" s="19">
        <f>_xlfn.IFERROR(D8/C8,0)</f>
        <v>0.03903580168389733</v>
      </c>
      <c r="J8" s="20">
        <f>_xlfn.IFERROR(E8/F8,0)</f>
        <v>0.506078431372549</v>
      </c>
      <c r="K8" s="21">
        <f>_xlfn.IFERROR((H8-E8)/E8,0)</f>
        <v>59.734676481983726</v>
      </c>
      <c r="L8" s="22">
        <f>_xlfn.IFERROR(H8/E8,0)</f>
        <v>60.734676481983726</v>
      </c>
    </row>
    <row r="9" spans="8:8" ht="15.0">
      <c r="A9" s="6">
        <v>2.0</v>
      </c>
      <c r="B9" s="25" t="s">
        <v>56</v>
      </c>
      <c r="C9" s="9">
        <f>_xlfn.SUMIFS('Campaign Data'!$F$5:$F$36,'Campaign Data'!$C$5:$C$36,A9,'Campaign Data'!$D$5:$D$36,B9)</f>
        <v>184441.0</v>
      </c>
      <c r="D9" s="9">
        <f>_xlfn.SUMIFS('Campaign Data'!$G$5:$G$36,'Campaign Data'!$C$5:$C$36,A9,'Campaign Data'!$D$5:$D$36,B9)</f>
        <v>9413.0</v>
      </c>
      <c r="E9" s="24">
        <f>_xlfn.SUMIFS('Campaign Data'!$H$5:$H$36,'Campaign Data'!$C$5:$C$36,A9,'Campaign Data'!$D$5:$D$36,B9)</f>
        <v>13186.14</v>
      </c>
      <c r="F9" s="9">
        <f>_xlfn.SUMIFS('Campaign Data'!$I$5:$I$36,'Campaign Data'!$C$5:$C$36,A9,'Campaign Data'!$D$5:$D$36,B9)</f>
        <v>1084.0</v>
      </c>
      <c r="G9" s="9">
        <f>_xlfn.SUMIFS('Campaign Data'!$J$5:$J$36,'Campaign Data'!$C$5:$C$36,A9,'Campaign Data'!$D$5:$D$36,B9)</f>
        <v>280.0</v>
      </c>
      <c r="H9" s="24">
        <f>_xlfn.SUMIFS('Campaign Data'!$K$5:$K$36,'Campaign Data'!$C$5:$C$36,A9,'Campaign Data'!$D$5:$D$36,B9)</f>
        <v>44790.47</v>
      </c>
      <c r="I9" s="19">
        <f>_xlfn.IFERROR(D9/C9,0)</f>
        <v>0.05103529041807407</v>
      </c>
      <c r="J9" s="20">
        <f>_xlfn.IFERROR(E9/F9,0)</f>
        <v>12.164335793357933</v>
      </c>
      <c r="K9" s="21">
        <f>_xlfn.IFERROR((H9-E9)/E9,0)</f>
        <v>2.3967840474922912</v>
      </c>
      <c r="L9" s="22">
        <f>_xlfn.IFERROR(H9/E9,0)</f>
        <v>3.3967840474922912</v>
      </c>
    </row>
    <row r="10" spans="8:8" ht="15.0">
      <c r="A10" s="6">
        <v>2.0</v>
      </c>
      <c r="B10" s="25" t="s">
        <v>58</v>
      </c>
      <c r="C10" s="9">
        <f>_xlfn.SUMIFS('Campaign Data'!$F$5:$F$36,'Campaign Data'!$C$5:$C$36,A10,'Campaign Data'!$D$5:$D$36,B10)</f>
        <v>430411.0</v>
      </c>
      <c r="D10" s="9">
        <f>_xlfn.SUMIFS('Campaign Data'!$G$5:$G$36,'Campaign Data'!$C$5:$C$36,A10,'Campaign Data'!$D$5:$D$36,B10)</f>
        <v>5881.0</v>
      </c>
      <c r="E10" s="24">
        <f>_xlfn.SUMIFS('Campaign Data'!$H$5:$H$36,'Campaign Data'!$C$5:$C$36,A10,'Campaign Data'!$D$5:$D$36,B10)</f>
        <v>4078.53</v>
      </c>
      <c r="F10" s="9">
        <f>_xlfn.SUMIFS('Campaign Data'!$I$5:$I$36,'Campaign Data'!$C$5:$C$36,A10,'Campaign Data'!$D$5:$D$36,B10)</f>
        <v>418.0</v>
      </c>
      <c r="G10" s="9">
        <f>_xlfn.SUMIFS('Campaign Data'!$J$5:$J$36,'Campaign Data'!$C$5:$C$36,A10,'Campaign Data'!$D$5:$D$36,B10)</f>
        <v>62.0</v>
      </c>
      <c r="H10" s="24">
        <f>_xlfn.SUMIFS('Campaign Data'!$K$5:$K$36,'Campaign Data'!$C$5:$C$36,A10,'Campaign Data'!$D$5:$D$36,B10)</f>
        <v>6121.789999999999</v>
      </c>
      <c r="I10" s="19">
        <f>_xlfn.IFERROR(D10/C10,0)</f>
        <v>0.013663684245988137</v>
      </c>
      <c r="J10" s="20">
        <f>_xlfn.IFERROR(E10/F10,0)</f>
        <v>9.757248803827752</v>
      </c>
      <c r="K10" s="21">
        <f>_xlfn.IFERROR((H10-E10)/E10,0)</f>
        <v>0.5009795195818099</v>
      </c>
      <c r="L10" s="22">
        <f>_xlfn.IFERROR(H10/E10,0)</f>
        <v>1.5009795195818099</v>
      </c>
    </row>
    <row r="11" spans="8:8" ht="15.0">
      <c r="A11" s="6">
        <v>2.0</v>
      </c>
      <c r="B11" s="25" t="s">
        <v>60</v>
      </c>
      <c r="C11" s="9">
        <f>_xlfn.SUMIFS('Campaign Data'!$F$5:$F$36,'Campaign Data'!$C$5:$C$36,A11,'Campaign Data'!$D$5:$D$36,B11)</f>
        <v>77518.0</v>
      </c>
      <c r="D11" s="9">
        <f>_xlfn.SUMIFS('Campaign Data'!$G$5:$G$36,'Campaign Data'!$C$5:$C$36,A11,'Campaign Data'!$D$5:$D$36,B11)</f>
        <v>701.0</v>
      </c>
      <c r="E11" s="24">
        <f>_xlfn.SUMIFS('Campaign Data'!$H$5:$H$36,'Campaign Data'!$C$5:$C$36,A11,'Campaign Data'!$D$5:$D$36,B11)</f>
        <v>3998.11</v>
      </c>
      <c r="F11" s="9">
        <f>_xlfn.SUMIFS('Campaign Data'!$I$5:$I$36,'Campaign Data'!$C$5:$C$36,A11,'Campaign Data'!$D$5:$D$36,B11)</f>
        <v>133.0</v>
      </c>
      <c r="G11" s="9">
        <f>_xlfn.SUMIFS('Campaign Data'!$J$5:$J$36,'Campaign Data'!$C$5:$C$36,A11,'Campaign Data'!$D$5:$D$36,B11)</f>
        <v>28.0</v>
      </c>
      <c r="H11" s="24">
        <f>_xlfn.SUMIFS('Campaign Data'!$K$5:$K$36,'Campaign Data'!$C$5:$C$36,A11,'Campaign Data'!$D$5:$D$36,B11)</f>
        <v>20780.6</v>
      </c>
      <c r="I11" s="19">
        <f>_xlfn.IFERROR(D11/C11,0)</f>
        <v>0.009043060966485203</v>
      </c>
      <c r="J11" s="20">
        <f>_xlfn.IFERROR(E11/F11,0)</f>
        <v>30.060977443609023</v>
      </c>
      <c r="K11" s="21">
        <f>_xlfn.IFERROR((H11-E11)/E11,0)</f>
        <v>4.197605868772994</v>
      </c>
      <c r="L11" s="22">
        <f>_xlfn.IFERROR(H11/E11,0)</f>
        <v>5.197605868772995</v>
      </c>
    </row>
    <row r="12" spans="8:8" ht="15.0">
      <c r="A12" s="6">
        <v>2.0</v>
      </c>
      <c r="B12" s="25" t="s">
        <v>62</v>
      </c>
      <c r="C12" s="9">
        <f>_xlfn.SUMIFS('Campaign Data'!$F$5:$F$36,'Campaign Data'!$C$5:$C$36,A12,'Campaign Data'!$D$5:$D$36,B12)</f>
        <v>91845.0</v>
      </c>
      <c r="D12" s="9">
        <f>_xlfn.SUMIFS('Campaign Data'!$G$5:$G$36,'Campaign Data'!$C$5:$C$36,A12,'Campaign Data'!$D$5:$D$36,B12)</f>
        <v>3367.0</v>
      </c>
      <c r="E12" s="24">
        <f>_xlfn.SUMIFS('Campaign Data'!$H$5:$H$36,'Campaign Data'!$C$5:$C$36,A12,'Campaign Data'!$D$5:$D$36,B12)</f>
        <v>222.89</v>
      </c>
      <c r="F12" s="9">
        <f>_xlfn.SUMIFS('Campaign Data'!$I$5:$I$36,'Campaign Data'!$C$5:$C$36,A12,'Campaign Data'!$D$5:$D$36,B12)</f>
        <v>475.0</v>
      </c>
      <c r="G12" s="9">
        <f>_xlfn.SUMIFS('Campaign Data'!$J$5:$J$36,'Campaign Data'!$C$5:$C$36,A12,'Campaign Data'!$D$5:$D$36,B12)</f>
        <v>109.0</v>
      </c>
      <c r="H12" s="24">
        <f>_xlfn.SUMIFS('Campaign Data'!$K$5:$K$36,'Campaign Data'!$C$5:$C$36,A12,'Campaign Data'!$D$5:$D$36,B12)</f>
        <v>13492.56</v>
      </c>
      <c r="I12" s="19">
        <f>_xlfn.IFERROR(D12/C12,0)</f>
        <v>0.036659589525831565</v>
      </c>
      <c r="J12" s="20">
        <f>_xlfn.IFERROR(E12/F12,0)</f>
        <v>0.46924210526315785</v>
      </c>
      <c r="K12" s="21">
        <f>_xlfn.IFERROR((H12-E12)/E12,0)</f>
        <v>59.534613486473155</v>
      </c>
      <c r="L12" s="22">
        <f>_xlfn.IFERROR(H12/E12,0)</f>
        <v>60.53461348647315</v>
      </c>
    </row>
  </sheetData>
  <mergeCells count="2">
    <mergeCell ref="A1:L1"/>
    <mergeCell ref="A2:L2"/>
  </mergeCells>
  <conditionalFormatting sqref="L5:L12">
    <cfRule type="colorScale" priority="2">
      <colorScale>
        <cfvo type="min"/>
        <cfvo type="percentile" val="50.0"/>
        <cfvo type="max"/>
        <color rgb="FFFFC7CE"/>
        <color rgb="FFFFEB9C"/>
        <color rgb="FFC6EFCE"/>
      </colorScale>
    </cfRule>
  </conditionalFormatting>
  <pageMargins left="0.75" right="0.75" top="1.0" bottom="1.0" header="0.511811023622047" footer="0.511811023622047"/>
  <pageSetup paperSize="9"/>
</worksheet>
</file>

<file path=xl/worksheets/sheet5.xml><?xml version="1.0" encoding="utf-8"?>
<worksheet xmlns:r="http://schemas.openxmlformats.org/officeDocument/2006/relationships" xmlns="http://schemas.openxmlformats.org/spreadsheetml/2006/main">
  <dimension ref="A1:K34"/>
  <sheetViews>
    <sheetView workbookViewId="0" topLeftCell="H4" showGridLines="0" zoomScale="30">
      <selection activeCell="A1" sqref="A1:J1"/>
    </sheetView>
  </sheetViews>
  <sheetFormatPr defaultRowHeight="15.0" zeroHeight="1"/>
  <cols>
    <col min="1" max="1" customWidth="1" width="22.0" style="0"/>
    <col min="2" max="3" customWidth="1" width="14.0" style="0"/>
    <col min="4" max="5" customWidth="1" width="10.0" style="0"/>
    <col min="6" max="6" customWidth="1" width="12.0" style="0"/>
    <col min="7" max="10" customWidth="1" width="6.0" style="0"/>
  </cols>
  <sheetData>
    <row r="1" spans="8:8" ht="21.75" customHeight="1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</row>
    <row r="2" spans="8:8" ht="15.75" customHeight="1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</row>
    <row r="4" spans="8:8" ht="15.0">
      <c r="A4" s="26" t="s">
        <v>70</v>
      </c>
    </row>
    <row r="5" spans="8:8" ht="15.0">
      <c r="A5" s="5" t="s">
        <v>71</v>
      </c>
      <c r="B5" s="27">
        <v>0.02</v>
      </c>
    </row>
    <row r="6" spans="8:8" ht="15.0">
      <c r="A6" s="5" t="s">
        <v>72</v>
      </c>
      <c r="B6" s="28">
        <v>60.0</v>
      </c>
    </row>
    <row r="7" spans="8:8" ht="15.0">
      <c r="A7" s="5" t="s">
        <v>73</v>
      </c>
      <c r="B7" s="29">
        <v>3.0</v>
      </c>
    </row>
    <row r="9" spans="8:8" ht="15.0">
      <c r="A9" s="26" t="s">
        <v>74</v>
      </c>
    </row>
    <row r="10" spans="8:8" ht="15.0">
      <c r="A10" s="30" t="s">
        <v>75</v>
      </c>
      <c r="B10" s="31">
        <f>SUM('Campaign Data'!F5:F36)</f>
        <v>1534386.0</v>
      </c>
    </row>
    <row r="11" spans="8:8" ht="15.0">
      <c r="A11" s="30" t="s">
        <v>76</v>
      </c>
      <c r="B11" s="31">
        <f>SUM('Campaign Data'!G5:G36)</f>
        <v>38727.0</v>
      </c>
    </row>
    <row r="12" spans="8:8" ht="15.0">
      <c r="A12" s="30" t="s">
        <v>77</v>
      </c>
      <c r="B12" s="32">
        <f>SUM('Campaign Data'!H5:H36)</f>
        <v>42803.18</v>
      </c>
    </row>
    <row r="13" spans="8:8" ht="15.0">
      <c r="A13" s="30" t="s">
        <v>78</v>
      </c>
      <c r="B13" s="31">
        <f>SUM('Campaign Data'!I5:I36)</f>
        <v>4262.0</v>
      </c>
    </row>
    <row r="14" spans="8:8" ht="15.0">
      <c r="A14" s="30" t="s">
        <v>79</v>
      </c>
      <c r="B14" s="31">
        <f>SUM('Campaign Data'!J5:J36)</f>
        <v>966.0</v>
      </c>
    </row>
    <row r="15" spans="8:8" ht="15.0">
      <c r="A15" s="30" t="s">
        <v>80</v>
      </c>
      <c r="B15" s="32">
        <f>SUM('Campaign Data'!K5:K36)</f>
        <v>165894.02999999997</v>
      </c>
    </row>
    <row r="16" spans="8:8" ht="15.0">
      <c r="A16" s="30" t="s">
        <v>65</v>
      </c>
      <c r="B16" s="33">
        <f>B11/B10</f>
        <v>0.025239411725602293</v>
      </c>
    </row>
    <row r="17" spans="8:8" ht="15.0">
      <c r="A17" s="30" t="s">
        <v>81</v>
      </c>
      <c r="B17" s="34">
        <f>B12/B11</f>
        <v>1.105254215405273</v>
      </c>
    </row>
    <row r="18" spans="8:8" ht="15.0">
      <c r="A18" s="30" t="s">
        <v>82</v>
      </c>
      <c r="B18" s="34">
        <f>B12/B13</f>
        <v>10.042979821679962</v>
      </c>
    </row>
    <row r="19" spans="8:8" ht="15.0">
      <c r="A19" s="30" t="s">
        <v>83</v>
      </c>
      <c r="B19" s="33">
        <f>B14/B11</f>
        <v>0.024943837632659387</v>
      </c>
    </row>
    <row r="20" spans="8:8" ht="15.0">
      <c r="A20" s="30" t="s">
        <v>84</v>
      </c>
      <c r="B20" s="35">
        <f>(B15-B12)/B12</f>
        <v>2.875740774400406</v>
      </c>
    </row>
    <row r="21" spans="8:8" ht="15.0">
      <c r="A21" s="30" t="s">
        <v>85</v>
      </c>
      <c r="B21" s="36">
        <f>B15/B12</f>
        <v>3.875740774400406</v>
      </c>
    </row>
    <row r="23" spans="8:8" ht="15.0">
      <c r="A23" s="26" t="s">
        <v>86</v>
      </c>
    </row>
    <row r="24" spans="8:8" ht="15.0">
      <c r="A24" s="30" t="s">
        <v>87</v>
      </c>
      <c r="B24" s="37">
        <f>B16</f>
        <v>0.025239411725602293</v>
      </c>
      <c r="C24" s="38" t="str">
        <f>IF(B24&gt;=$B$5,"On Target","Below Target")</f>
        <v>On Target</v>
      </c>
    </row>
    <row r="25" spans="8:8" ht="15.0">
      <c r="A25" s="30" t="s">
        <v>88</v>
      </c>
      <c r="B25" s="39">
        <f>B18</f>
        <v>10.042979821679962</v>
      </c>
      <c r="C25" s="38" t="str">
        <f>IF(B25&lt;=$B$6,"On Target","Above Target")</f>
        <v>On Target</v>
      </c>
    </row>
    <row r="26" spans="8:8" ht="15.0">
      <c r="A26" s="30" t="s">
        <v>89</v>
      </c>
      <c r="B26" s="40">
        <f>B21</f>
        <v>3.875740774400406</v>
      </c>
      <c r="C26" s="38" t="str">
        <f>IF(B26&gt;=$B$7,"On Target","Below Target")</f>
        <v>On Target</v>
      </c>
    </row>
    <row r="29" spans="8:8" ht="15.0">
      <c r="A29" s="26" t="s">
        <v>90</v>
      </c>
    </row>
    <row r="30" spans="8:8" ht="15.0">
      <c r="A30" s="15" t="s">
        <v>47</v>
      </c>
      <c r="B30" s="15" t="s">
        <v>51</v>
      </c>
      <c r="C30" s="15" t="s">
        <v>54</v>
      </c>
      <c r="D30" s="15" t="s">
        <v>29</v>
      </c>
      <c r="E30" s="15" t="s">
        <v>17</v>
      </c>
      <c r="F30" s="15" t="s">
        <v>25</v>
      </c>
    </row>
    <row r="31" spans="8:8" ht="15.0">
      <c r="A31" s="25" t="s">
        <v>56</v>
      </c>
      <c r="B31" s="41">
        <f>SUMIF('Campaign Data'!$D$5:$D$36,A31,'Campaign Data'!$H$5:$H$36)</f>
        <v>26969.960000000003</v>
      </c>
      <c r="C31" s="41">
        <f>SUMIF('Campaign Data'!$D$5:$D$36,A31,'Campaign Data'!$K$5:$K$36)</f>
        <v>85618.27</v>
      </c>
      <c r="D31" s="22">
        <f>_xlfn.IFERROR(C31/B31,0)</f>
        <v>3.174579050172859</v>
      </c>
      <c r="E31" s="19">
        <f>_xlfn.IFERROR((SUMIF('Campaign Data'!$D$5:$D$36,A31,'Campaign Data'!$G$5:$G$36))/(SUMIF('Campaign Data'!$D$5:$D$36,A31,'Campaign Data'!$F$5:$F$36)),0)</f>
        <v>0.0527440411754564</v>
      </c>
      <c r="F31" s="20">
        <f>_xlfn.IFERROR(B31/(SUMIF('Campaign Data'!$D$5:$D$36,A31,'Campaign Data'!$I$5:$I$36)),0)</f>
        <v>12.885790731008123</v>
      </c>
    </row>
    <row r="32" spans="8:8" ht="15.0">
      <c r="A32" s="25" t="s">
        <v>58</v>
      </c>
      <c r="B32" s="41">
        <f>SUMIF('Campaign Data'!$D$5:$D$36,A32,'Campaign Data'!$H$5:$H$36)</f>
        <v>8602.82</v>
      </c>
      <c r="C32" s="41">
        <f>SUMIF('Campaign Data'!$D$5:$D$36,A32,'Campaign Data'!$K$5:$K$36)</f>
        <v>13641.13</v>
      </c>
      <c r="D32" s="22">
        <f>_xlfn.IFERROR(C32/B32,0)</f>
        <v>1.5856579586693664</v>
      </c>
      <c r="E32" s="19">
        <f>_xlfn.IFERROR((SUMIF('Campaign Data'!$D$5:$D$36,A32,'Campaign Data'!$G$5:$G$36))/(SUMIF('Campaign Data'!$D$5:$D$36,A32,'Campaign Data'!$F$5:$F$36)),0)</f>
        <v>0.013919807459083883</v>
      </c>
      <c r="F32" s="20">
        <f>_xlfn.IFERROR(B32/(SUMIF('Campaign Data'!$D$5:$D$36,A32,'Campaign Data'!$I$5:$I$36)),0)</f>
        <v>9.027093389296956</v>
      </c>
    </row>
    <row r="33" spans="8:8" ht="15.0">
      <c r="A33" s="25" t="s">
        <v>60</v>
      </c>
      <c r="B33" s="41">
        <f>SUMIF('Campaign Data'!$D$5:$D$36,A33,'Campaign Data'!$H$5:$H$36)</f>
        <v>6749.409999999999</v>
      </c>
      <c r="C33" s="41">
        <f>SUMIF('Campaign Data'!$D$5:$D$36,A33,'Campaign Data'!$K$5:$K$36)</f>
        <v>37466.45</v>
      </c>
      <c r="D33" s="22">
        <f>_xlfn.IFERROR(C33/B33,0)</f>
        <v>5.551070389856299</v>
      </c>
      <c r="E33" s="19">
        <f>_xlfn.IFERROR((SUMIF('Campaign Data'!$D$5:$D$36,A33,'Campaign Data'!$G$5:$G$36))/(SUMIF('Campaign Data'!$D$5:$D$36,A33,'Campaign Data'!$F$5:$F$36)),0)</f>
        <v>0.008439171705758863</v>
      </c>
      <c r="F33" s="20">
        <f>_xlfn.IFERROR(B33/(SUMIF('Campaign Data'!$D$5:$D$36,A33,'Campaign Data'!$I$5:$I$36)),0)</f>
        <v>29.218225108225102</v>
      </c>
    </row>
    <row r="34" spans="8:8" ht="15.0">
      <c r="A34" s="25" t="s">
        <v>62</v>
      </c>
      <c r="B34" s="41">
        <f>SUMIF('Campaign Data'!$D$5:$D$36,A34,'Campaign Data'!$H$5:$H$36)</f>
        <v>480.98999999999995</v>
      </c>
      <c r="C34" s="41">
        <f>SUMIF('Campaign Data'!$D$5:$D$36,A34,'Campaign Data'!$K$5:$K$36)</f>
        <v>29168.180000000004</v>
      </c>
      <c r="D34" s="22">
        <f>_xlfn.IFERROR(C34/B34,0)</f>
        <v>60.641967608474204</v>
      </c>
      <c r="E34" s="19">
        <f>_xlfn.IFERROR((SUMIF('Campaign Data'!$D$5:$D$36,A34,'Campaign Data'!$G$5:$G$36))/(SUMIF('Campaign Data'!$D$5:$D$36,A34,'Campaign Data'!$F$5:$F$36)),0)</f>
        <v>0.03785359089087029</v>
      </c>
      <c r="F34" s="20">
        <f>_xlfn.IFERROR(B34/(SUMIF('Campaign Data'!$D$5:$D$36,A34,'Campaign Data'!$I$5:$I$36)),0)</f>
        <v>0.4883147208121827</v>
      </c>
    </row>
  </sheetData>
  <mergeCells count="2">
    <mergeCell ref="A1:J1"/>
    <mergeCell ref="A2:J2"/>
  </mergeCells>
  <conditionalFormatting sqref="C24:C26">
    <cfRule type="expression" priority="3" dxfId="0">
      <formula>OR($C24="Below Target",$C24="Above Target")</formula>
    </cfRule>
    <cfRule type="expression" priority="2" dxfId="1">
      <formula>OR($C24="On Target")</formula>
    </cfRule>
  </conditionalFormatting>
  <pageMargins left="0.75" right="0.75" top="1.0" bottom="1.0" header="0.511811023622047" footer="0.511811023622047"/>
  <pageSetup paperSize="9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G20"/>
  <sheetViews>
    <sheetView tabSelected="1" workbookViewId="0" showGridLines="0">
      <selection activeCell="A2" sqref="A2:F2"/>
    </sheetView>
  </sheetViews>
  <sheetFormatPr defaultRowHeight="15.0" zeroHeight="1"/>
  <cols>
    <col min="1" max="1" customWidth="1" width="26.0" style="0"/>
    <col min="2" max="2" customWidth="1" width="12.0" style="0"/>
    <col min="3" max="6" customWidth="1" width="4.0" style="0"/>
  </cols>
  <sheetData>
    <row r="1" spans="8:8" ht="21.75" customHeight="1">
      <c r="A1" s="1" t="s">
        <v>14</v>
      </c>
      <c r="B1" s="1"/>
      <c r="C1" s="1"/>
      <c r="D1" s="1"/>
      <c r="E1" s="1"/>
      <c r="F1" s="1"/>
    </row>
    <row r="2" spans="8:8" ht="15.75" customHeight="1">
      <c r="A2" s="2"/>
      <c r="B2" s="2"/>
      <c r="C2" s="2"/>
      <c r="D2" s="2"/>
      <c r="E2" s="2"/>
      <c r="F2" s="2"/>
    </row>
    <row r="4" spans="8:8" ht="15.0">
      <c r="A4" s="3" t="s">
        <v>92</v>
      </c>
    </row>
    <row r="5" spans="8:8" ht="15.0">
      <c r="A5" s="30" t="s">
        <v>93</v>
      </c>
      <c r="B5" s="19">
        <f>_xlfn.AVERAGEIFS('Campaign Data'!$L$5:$L$36,'Campaign Data'!$D$5:$D$36,"Facebook Ads",'Campaign Data'!$A$5:$A$36,"&lt;=2")</f>
        <v>0.014762211521639862</v>
      </c>
    </row>
    <row r="6" spans="8:8" ht="15.0">
      <c r="A6" s="30" t="s">
        <v>94</v>
      </c>
      <c r="B6" s="19">
        <f>_xlfn.AVERAGEIFS('Campaign Data'!$L$5:$L$36,'Campaign Data'!$D$5:$D$36,"Facebook Ads",'Campaign Data'!$A$5:$A$36,"&gt;=7")</f>
        <v>0.011267631286666479</v>
      </c>
    </row>
    <row r="7" spans="8:8" ht="15.0">
      <c r="A7" s="42" t="s">
        <v>95</v>
      </c>
      <c r="B7" s="35">
        <f>(B6-B5)/B5</f>
        <v>-0.23672470956338035</v>
      </c>
    </row>
    <row r="10" spans="8:8" ht="15.0">
      <c r="A10" s="43" t="s">
        <v>96</v>
      </c>
      <c r="B10" s="43"/>
      <c r="C10" s="43"/>
      <c r="D10" s="43"/>
      <c r="E10" s="43"/>
      <c r="F10" s="43"/>
    </row>
    <row r="11" spans="8:8" ht="45.75" customHeight="1">
      <c r="A11" s="44" t="s">
        <v>97</v>
      </c>
      <c r="B11" s="4" t="s">
        <v>98</v>
      </c>
      <c r="C11" s="4"/>
      <c r="D11" s="4"/>
      <c r="E11" s="4"/>
      <c r="F11" s="4"/>
    </row>
    <row r="12" spans="8:8" ht="39.75" customHeight="1">
      <c r="A12" s="44" t="s">
        <v>99</v>
      </c>
      <c r="B12" s="4" t="s">
        <v>100</v>
      </c>
      <c r="C12" s="4"/>
      <c r="D12" s="4"/>
      <c r="E12" s="4"/>
      <c r="F12" s="4"/>
    </row>
    <row r="14" spans="8:8" ht="15.0">
      <c r="A14" s="43" t="s">
        <v>101</v>
      </c>
      <c r="B14" s="43"/>
      <c r="C14" s="43"/>
      <c r="D14" s="43"/>
      <c r="E14" s="43"/>
      <c r="F14" s="43"/>
    </row>
    <row r="15" spans="8:8" ht="45.75" customHeight="1">
      <c r="A15" s="44" t="s">
        <v>97</v>
      </c>
      <c r="B15" s="4" t="s">
        <v>102</v>
      </c>
      <c r="C15" s="4"/>
      <c r="D15" s="4"/>
      <c r="E15" s="4"/>
      <c r="F15" s="4"/>
    </row>
    <row r="16" spans="8:8" ht="39.75" customHeight="1">
      <c r="A16" s="44" t="s">
        <v>99</v>
      </c>
      <c r="B16" s="4" t="s">
        <v>103</v>
      </c>
      <c r="C16" s="4"/>
      <c r="D16" s="4"/>
      <c r="E16" s="4"/>
      <c r="F16" s="4"/>
    </row>
    <row r="18" spans="8:8" ht="15.0">
      <c r="A18" s="43" t="s">
        <v>104</v>
      </c>
      <c r="B18" s="43"/>
      <c r="C18" s="43"/>
      <c r="D18" s="43"/>
      <c r="E18" s="43"/>
      <c r="F18" s="43"/>
    </row>
    <row r="19" spans="8:8" ht="45.75" customHeight="1">
      <c r="A19" s="44" t="s">
        <v>97</v>
      </c>
      <c r="B19" s="4" t="s">
        <v>105</v>
      </c>
      <c r="C19" s="4"/>
      <c r="D19" s="4"/>
      <c r="E19" s="4"/>
      <c r="F19" s="4"/>
    </row>
    <row r="20" spans="8:8" ht="39.75" customHeight="1">
      <c r="A20" s="44" t="s">
        <v>99</v>
      </c>
      <c r="B20" s="4" t="s">
        <v>106</v>
      </c>
      <c r="C20" s="4"/>
      <c r="D20" s="4"/>
      <c r="E20" s="4"/>
      <c r="F20" s="4"/>
    </row>
  </sheetData>
  <mergeCells count="11">
    <mergeCell ref="A1:F1"/>
    <mergeCell ref="B16:F16"/>
    <mergeCell ref="B15:F15"/>
    <mergeCell ref="A14:F14"/>
    <mergeCell ref="B12:F12"/>
    <mergeCell ref="B11:F11"/>
    <mergeCell ref="A10:F10"/>
    <mergeCell ref="A18:F18"/>
    <mergeCell ref="A2:F2"/>
    <mergeCell ref="B19:F19"/>
    <mergeCell ref="B20:F20"/>
  </mergeCells>
  <conditionalFormatting sqref="B7">
    <cfRule type="cellIs" operator="lessThan" priority="2" dxfId="2">
      <formula>0</formula>
    </cfRule>
  </conditionalFormatting>
  <pageMargins left="0.75" right="0.75" top="1.0" bottom="1.0" header="0.511811023622047" footer="0.511811023622047"/>
  <pageSetup paperSize="9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2026-09-12T01:54:57Z</dcterms:created>
  <dcterms:modified xsi:type="dcterms:W3CDTF">2026-09-12T07:38:01Z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29db0c1a2fa144d09871c84536bace2f</vt:lpwstr>
  </property>
</Properties>
</file>